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clavik\lab3\laborator_protokoly\"/>
    </mc:Choice>
  </mc:AlternateContent>
  <xr:revisionPtr revIDLastSave="0" documentId="13_ncr:1_{CB2887B0-8BC0-435C-A707-435DEEC3F9C5}" xr6:coauthVersionLast="47" xr6:coauthVersionMax="47" xr10:uidLastSave="{00000000-0000-0000-0000-000000000000}"/>
  <bookViews>
    <workbookView xWindow="-108" yWindow="-108" windowWidth="23256" windowHeight="12456" tabRatio="777" activeTab="14" xr2:uid="{00000000-000D-0000-FFFF-FFFF00000000}"/>
  </bookViews>
  <sheets>
    <sheet name="Časový snímek" sheetId="1" r:id="rId1"/>
    <sheet name="List2" sheetId="2" state="hidden" r:id="rId2"/>
    <sheet name="Vložení sil" sheetId="3" r:id="rId3"/>
    <sheet name="Pohyby prac. A" sheetId="4" r:id="rId4"/>
    <sheet name="Pohyby prac. B" sheetId="5" r:id="rId5"/>
    <sheet name="Somatometrie" sheetId="6" r:id="rId6"/>
    <sheet name="FA A" sheetId="7" r:id="rId7"/>
    <sheet name="Pracovník A" sheetId="8" r:id="rId8"/>
    <sheet name="Počet pohybů (s)" sheetId="9" state="hidden" r:id="rId9"/>
    <sheet name="Počet pohybů (ks)" sheetId="10" state="hidden" r:id="rId10"/>
    <sheet name="Grafy - 8 hod. (s)" sheetId="11" state="hidden" r:id="rId11"/>
    <sheet name="Grafy - 8 hod. (ks)" sheetId="12" state="hidden" r:id="rId12"/>
    <sheet name="Pracovník B" sheetId="13" r:id="rId13"/>
    <sheet name="FA B" sheetId="14" r:id="rId14"/>
    <sheet name="Celkové výsledky" sheetId="15" r:id="rId15"/>
    <sheet name="Graf-čas-A1" sheetId="16" state="hidden" r:id="rId16"/>
    <sheet name="Graf-čas-B1" sheetId="17" state="hidden" r:id="rId17"/>
    <sheet name="Graf-kusy-A" sheetId="18" state="hidden" r:id="rId18"/>
    <sheet name="Graf-kusy-B" sheetId="19" state="hidden" r:id="rId19"/>
    <sheet name="Modul1" sheetId="20" state="veryHidden" r:id="rId20"/>
  </sheets>
  <definedNames>
    <definedName name="_xlnm.Print_Area" localSheetId="0">'Časový snímek'!$A$1:$N$46</definedName>
    <definedName name="_xlnm.Print_Area" localSheetId="15">'Graf-čas-A1'!$A$1:$L$64</definedName>
    <definedName name="_xlnm.Print_Area" localSheetId="16">'Graf-čas-B1'!$A$1:$L$64</definedName>
    <definedName name="_xlnm.Print_Area" localSheetId="17">'Graf-kusy-A'!$A$1:$L$64</definedName>
    <definedName name="_xlnm.Print_Area" localSheetId="18">'Graf-kusy-B'!$A$1:$L$64</definedName>
  </definedNames>
  <calcPr calcId="181029"/>
</workbook>
</file>

<file path=xl/calcChain.xml><?xml version="1.0" encoding="utf-8"?>
<calcChain xmlns="http://schemas.openxmlformats.org/spreadsheetml/2006/main">
  <c r="J58" i="15" l="1"/>
  <c r="I27" i="19"/>
  <c r="G27" i="19"/>
  <c r="E27" i="19"/>
  <c r="C27" i="19"/>
  <c r="B27" i="19"/>
  <c r="A27" i="19"/>
  <c r="I27" i="18"/>
  <c r="C27" i="18"/>
  <c r="I27" i="17"/>
  <c r="G27" i="17"/>
  <c r="E27" i="17"/>
  <c r="C27" i="17"/>
  <c r="B27" i="17"/>
  <c r="A27" i="17"/>
  <c r="I27" i="16"/>
  <c r="C27" i="16"/>
  <c r="G75" i="15"/>
  <c r="C75" i="15"/>
  <c r="J72" i="15"/>
  <c r="H69" i="15"/>
  <c r="J68" i="15"/>
  <c r="I68" i="15"/>
  <c r="H68" i="15"/>
  <c r="G68" i="15"/>
  <c r="F68" i="15"/>
  <c r="E68" i="15"/>
  <c r="D68" i="15"/>
  <c r="C68" i="15"/>
  <c r="J67" i="15"/>
  <c r="I67" i="15"/>
  <c r="H67" i="15"/>
  <c r="G67" i="15"/>
  <c r="F67" i="15"/>
  <c r="E67" i="15"/>
  <c r="D67" i="15"/>
  <c r="C67" i="15"/>
  <c r="J66" i="15"/>
  <c r="I66" i="15"/>
  <c r="H66" i="15"/>
  <c r="G66" i="15"/>
  <c r="F66" i="15"/>
  <c r="E66" i="15"/>
  <c r="D66" i="15"/>
  <c r="C66" i="15"/>
  <c r="J65" i="15"/>
  <c r="I65" i="15"/>
  <c r="H65" i="15"/>
  <c r="G65" i="15"/>
  <c r="F65" i="15"/>
  <c r="E65" i="15"/>
  <c r="D65" i="15"/>
  <c r="C65" i="15"/>
  <c r="J64" i="15"/>
  <c r="J69" i="15" s="1"/>
  <c r="I64" i="15"/>
  <c r="I69" i="15" s="1"/>
  <c r="H64" i="15"/>
  <c r="G64" i="15"/>
  <c r="G69" i="15" s="1"/>
  <c r="F64" i="15"/>
  <c r="F69" i="15" s="1"/>
  <c r="E64" i="15"/>
  <c r="E69" i="15" s="1"/>
  <c r="D64" i="15"/>
  <c r="C64" i="15"/>
  <c r="C69" i="15" s="1"/>
  <c r="J61" i="15"/>
  <c r="J75" i="15" s="1"/>
  <c r="I61" i="15"/>
  <c r="I75" i="15" s="1"/>
  <c r="H61" i="15"/>
  <c r="G61" i="15"/>
  <c r="F61" i="15"/>
  <c r="F75" i="15" s="1"/>
  <c r="E61" i="15"/>
  <c r="E75" i="15" s="1"/>
  <c r="D61" i="15"/>
  <c r="C61" i="15"/>
  <c r="J60" i="15"/>
  <c r="J74" i="15" s="1"/>
  <c r="I60" i="15"/>
  <c r="I74" i="15" s="1"/>
  <c r="H60" i="15"/>
  <c r="H74" i="15" s="1"/>
  <c r="G60" i="15"/>
  <c r="G74" i="15" s="1"/>
  <c r="F60" i="15"/>
  <c r="F74" i="15" s="1"/>
  <c r="E60" i="15"/>
  <c r="E74" i="15" s="1"/>
  <c r="D60" i="15"/>
  <c r="D74" i="15" s="1"/>
  <c r="C60" i="15"/>
  <c r="C74" i="15" s="1"/>
  <c r="J59" i="15"/>
  <c r="J73" i="15" s="1"/>
  <c r="I59" i="15"/>
  <c r="I73" i="15" s="1"/>
  <c r="H59" i="15"/>
  <c r="H73" i="15" s="1"/>
  <c r="G59" i="15"/>
  <c r="G73" i="15" s="1"/>
  <c r="F59" i="15"/>
  <c r="F73" i="15" s="1"/>
  <c r="E59" i="15"/>
  <c r="E73" i="15" s="1"/>
  <c r="D59" i="15"/>
  <c r="D73" i="15" s="1"/>
  <c r="C59" i="15"/>
  <c r="C73" i="15" s="1"/>
  <c r="I58" i="15"/>
  <c r="I72" i="15" s="1"/>
  <c r="H58" i="15"/>
  <c r="H72" i="15" s="1"/>
  <c r="G58" i="15"/>
  <c r="G72" i="15" s="1"/>
  <c r="F58" i="15"/>
  <c r="E58" i="15"/>
  <c r="D58" i="15"/>
  <c r="C58" i="15"/>
  <c r="C72" i="15" s="1"/>
  <c r="J57" i="15"/>
  <c r="J71" i="15" s="1"/>
  <c r="I57" i="15"/>
  <c r="I71" i="15" s="1"/>
  <c r="H57" i="15"/>
  <c r="G57" i="15"/>
  <c r="G62" i="15" s="1"/>
  <c r="F57" i="15"/>
  <c r="F71" i="15" s="1"/>
  <c r="E57" i="15"/>
  <c r="E71" i="15" s="1"/>
  <c r="D57" i="15"/>
  <c r="C57" i="15"/>
  <c r="C62" i="15" s="1"/>
  <c r="Y48" i="15"/>
  <c r="Y44" i="15"/>
  <c r="X43" i="15"/>
  <c r="O43" i="15"/>
  <c r="K43" i="15"/>
  <c r="X42" i="15"/>
  <c r="Y41" i="15"/>
  <c r="X41" i="15"/>
  <c r="T41" i="15"/>
  <c r="Y40" i="15"/>
  <c r="X40" i="15"/>
  <c r="G40" i="15"/>
  <c r="Y39" i="15"/>
  <c r="X39" i="15"/>
  <c r="Y38" i="15"/>
  <c r="X38" i="15"/>
  <c r="Y37" i="15"/>
  <c r="X37" i="15"/>
  <c r="Y36" i="15"/>
  <c r="X36" i="15"/>
  <c r="Y35" i="15"/>
  <c r="X35" i="15"/>
  <c r="Y34" i="15"/>
  <c r="X34" i="15"/>
  <c r="Y33" i="15"/>
  <c r="X33" i="15"/>
  <c r="Y32" i="15"/>
  <c r="X32" i="15"/>
  <c r="Y31" i="15"/>
  <c r="X31" i="15"/>
  <c r="Y30" i="15"/>
  <c r="X30" i="15"/>
  <c r="Y29" i="15"/>
  <c r="X29" i="15"/>
  <c r="Y28" i="15"/>
  <c r="X28" i="15"/>
  <c r="Y27" i="15"/>
  <c r="X27" i="15"/>
  <c r="Y26" i="15"/>
  <c r="X26" i="15"/>
  <c r="Y25" i="15"/>
  <c r="X25" i="15"/>
  <c r="Y24" i="15"/>
  <c r="X24" i="15"/>
  <c r="Y23" i="15"/>
  <c r="X23" i="15"/>
  <c r="Y22" i="15"/>
  <c r="X22" i="15"/>
  <c r="Y21" i="15"/>
  <c r="X21" i="15"/>
  <c r="Y20" i="15"/>
  <c r="X20" i="15"/>
  <c r="I20" i="15"/>
  <c r="H20" i="15"/>
  <c r="G20" i="15"/>
  <c r="F20" i="15"/>
  <c r="E20" i="15"/>
  <c r="Y19" i="15"/>
  <c r="X19" i="15"/>
  <c r="I19" i="15"/>
  <c r="H19" i="15"/>
  <c r="G19" i="15"/>
  <c r="F19" i="15"/>
  <c r="E19" i="15"/>
  <c r="Y18" i="15"/>
  <c r="X18" i="15"/>
  <c r="I18" i="15"/>
  <c r="H18" i="15"/>
  <c r="G18" i="15"/>
  <c r="F18" i="15"/>
  <c r="E18" i="15"/>
  <c r="Y17" i="15"/>
  <c r="X17" i="15"/>
  <c r="I17" i="15"/>
  <c r="H17" i="15"/>
  <c r="G17" i="15"/>
  <c r="F17" i="15"/>
  <c r="E17" i="15"/>
  <c r="Y16" i="15"/>
  <c r="X16" i="15"/>
  <c r="I16" i="15"/>
  <c r="H16" i="15"/>
  <c r="G16" i="15"/>
  <c r="F16" i="15"/>
  <c r="E16" i="15"/>
  <c r="Y15" i="15"/>
  <c r="X15" i="15"/>
  <c r="I15" i="15"/>
  <c r="H15" i="15"/>
  <c r="G15" i="15"/>
  <c r="F15" i="15"/>
  <c r="E15" i="15"/>
  <c r="Y14" i="15"/>
  <c r="X14" i="15"/>
  <c r="Y13" i="15"/>
  <c r="X13" i="15"/>
  <c r="I13" i="15"/>
  <c r="H13" i="15"/>
  <c r="G13" i="15"/>
  <c r="F13" i="15"/>
  <c r="E13" i="15"/>
  <c r="Y12" i="15"/>
  <c r="X12" i="15"/>
  <c r="I12" i="15"/>
  <c r="H12" i="15"/>
  <c r="G12" i="15"/>
  <c r="F12" i="15"/>
  <c r="E12" i="15"/>
  <c r="Y11" i="15"/>
  <c r="X11" i="15"/>
  <c r="I11" i="15"/>
  <c r="H11" i="15"/>
  <c r="G11" i="15"/>
  <c r="F11" i="15"/>
  <c r="E11" i="15"/>
  <c r="Y10" i="15"/>
  <c r="X10" i="15"/>
  <c r="I10" i="15"/>
  <c r="H10" i="15"/>
  <c r="G10" i="15"/>
  <c r="F10" i="15"/>
  <c r="E10" i="15"/>
  <c r="Y9" i="15"/>
  <c r="X9" i="15"/>
  <c r="I9" i="15"/>
  <c r="H9" i="15"/>
  <c r="G9" i="15"/>
  <c r="F9" i="15"/>
  <c r="E9" i="15"/>
  <c r="Y8" i="15"/>
  <c r="X8" i="15"/>
  <c r="I8" i="15"/>
  <c r="H8" i="15"/>
  <c r="G8" i="15"/>
  <c r="F8" i="15"/>
  <c r="E8" i="15"/>
  <c r="Y7" i="15"/>
  <c r="X7" i="15"/>
  <c r="I7" i="15"/>
  <c r="H7" i="15"/>
  <c r="G7" i="15"/>
  <c r="F7" i="15"/>
  <c r="E7" i="15"/>
  <c r="Y6" i="15"/>
  <c r="X6" i="15"/>
  <c r="Y5" i="15"/>
  <c r="X5" i="15"/>
  <c r="P64" i="13"/>
  <c r="N58" i="13"/>
  <c r="G58" i="13"/>
  <c r="B58" i="13"/>
  <c r="N57" i="13"/>
  <c r="G57" i="13"/>
  <c r="B57" i="13"/>
  <c r="N56" i="13"/>
  <c r="G56" i="13"/>
  <c r="B56" i="13"/>
  <c r="N55" i="13"/>
  <c r="G55" i="13"/>
  <c r="B55" i="13"/>
  <c r="N54" i="13"/>
  <c r="G54" i="13"/>
  <c r="B54" i="13"/>
  <c r="N53" i="13"/>
  <c r="G53" i="13"/>
  <c r="G39" i="15" s="1"/>
  <c r="B53" i="13"/>
  <c r="N52" i="13"/>
  <c r="H52" i="13"/>
  <c r="F37" i="13" s="1"/>
  <c r="G52" i="13"/>
  <c r="G38" i="15" s="1"/>
  <c r="B52" i="13"/>
  <c r="N51" i="13"/>
  <c r="G51" i="13"/>
  <c r="G37" i="15" s="1"/>
  <c r="B51" i="13"/>
  <c r="T50" i="13"/>
  <c r="N50" i="13"/>
  <c r="G50" i="13"/>
  <c r="G36" i="15" s="1"/>
  <c r="B50" i="13"/>
  <c r="N49" i="13"/>
  <c r="G49" i="13"/>
  <c r="B49" i="13"/>
  <c r="N43" i="13"/>
  <c r="B43" i="13"/>
  <c r="N42" i="13"/>
  <c r="B42" i="13"/>
  <c r="N41" i="13"/>
  <c r="B41" i="13"/>
  <c r="N40" i="13"/>
  <c r="B40" i="13"/>
  <c r="N39" i="13"/>
  <c r="B39" i="13"/>
  <c r="N38" i="13"/>
  <c r="B38" i="13"/>
  <c r="N37" i="13"/>
  <c r="B37" i="13"/>
  <c r="N36" i="13"/>
  <c r="B36" i="13"/>
  <c r="N35" i="13"/>
  <c r="B35" i="13"/>
  <c r="N34" i="13"/>
  <c r="B34" i="13"/>
  <c r="D26" i="13"/>
  <c r="D25" i="13"/>
  <c r="C25" i="13"/>
  <c r="D24" i="13"/>
  <c r="C24" i="13"/>
  <c r="D23" i="13"/>
  <c r="C23" i="13"/>
  <c r="D22" i="13"/>
  <c r="C22" i="13"/>
  <c r="D21" i="13"/>
  <c r="C21" i="13"/>
  <c r="D20" i="13"/>
  <c r="C20" i="13"/>
  <c r="D19" i="13"/>
  <c r="C19" i="13"/>
  <c r="D18" i="13"/>
  <c r="C18" i="13"/>
  <c r="D17" i="13"/>
  <c r="C17" i="13"/>
  <c r="D16" i="13"/>
  <c r="D27" i="13" s="1"/>
  <c r="L25" i="13" s="1"/>
  <c r="C16" i="13"/>
  <c r="D7" i="13"/>
  <c r="D6" i="13"/>
  <c r="D5" i="13"/>
  <c r="I36" i="10"/>
  <c r="G36" i="10"/>
  <c r="E36" i="10"/>
  <c r="D36" i="10"/>
  <c r="H36" i="10" s="1"/>
  <c r="H35" i="10"/>
  <c r="G35" i="10"/>
  <c r="E35" i="10"/>
  <c r="I35" i="10" s="1"/>
  <c r="D35" i="10"/>
  <c r="I34" i="10"/>
  <c r="G34" i="10"/>
  <c r="E34" i="10"/>
  <c r="D34" i="10"/>
  <c r="H34" i="10" s="1"/>
  <c r="H33" i="10"/>
  <c r="G33" i="10"/>
  <c r="E33" i="10"/>
  <c r="I33" i="10" s="1"/>
  <c r="D33" i="10"/>
  <c r="I32" i="10"/>
  <c r="G32" i="10"/>
  <c r="E32" i="10"/>
  <c r="D32" i="10"/>
  <c r="H32" i="10" s="1"/>
  <c r="H31" i="10"/>
  <c r="G31" i="10"/>
  <c r="E31" i="10"/>
  <c r="I31" i="10" s="1"/>
  <c r="D31" i="10"/>
  <c r="I30" i="10"/>
  <c r="G30" i="10"/>
  <c r="E30" i="10"/>
  <c r="D30" i="10"/>
  <c r="H30" i="10" s="1"/>
  <c r="H29" i="10"/>
  <c r="G29" i="10"/>
  <c r="E29" i="10"/>
  <c r="I29" i="10" s="1"/>
  <c r="D29" i="10"/>
  <c r="I28" i="10"/>
  <c r="G28" i="10"/>
  <c r="E28" i="10"/>
  <c r="D28" i="10"/>
  <c r="H28" i="10" s="1"/>
  <c r="H27" i="10"/>
  <c r="G27" i="10"/>
  <c r="E27" i="10"/>
  <c r="I27" i="10" s="1"/>
  <c r="D27" i="10"/>
  <c r="I26" i="10"/>
  <c r="G26" i="10"/>
  <c r="E26" i="10"/>
  <c r="D26" i="10"/>
  <c r="H26" i="10" s="1"/>
  <c r="H25" i="10"/>
  <c r="G25" i="10"/>
  <c r="E25" i="10"/>
  <c r="I25" i="10" s="1"/>
  <c r="D25" i="10"/>
  <c r="I24" i="10"/>
  <c r="G24" i="10"/>
  <c r="E24" i="10"/>
  <c r="D24" i="10"/>
  <c r="H24" i="10" s="1"/>
  <c r="H23" i="10"/>
  <c r="G23" i="10"/>
  <c r="E23" i="10"/>
  <c r="I23" i="10" s="1"/>
  <c r="D23" i="10"/>
  <c r="I22" i="10"/>
  <c r="G22" i="10"/>
  <c r="E22" i="10"/>
  <c r="D22" i="10"/>
  <c r="H22" i="10" s="1"/>
  <c r="H21" i="10"/>
  <c r="G21" i="10"/>
  <c r="E21" i="10"/>
  <c r="I21" i="10" s="1"/>
  <c r="D21" i="10"/>
  <c r="I20" i="10"/>
  <c r="G20" i="10"/>
  <c r="E20" i="10"/>
  <c r="D20" i="10"/>
  <c r="H20" i="10" s="1"/>
  <c r="C20" i="10"/>
  <c r="G19" i="10"/>
  <c r="C19" i="10"/>
  <c r="H18" i="10"/>
  <c r="H43" i="10" s="1"/>
  <c r="D7" i="12" s="1"/>
  <c r="E18" i="10"/>
  <c r="I18" i="10" s="1"/>
  <c r="I43" i="10" s="1"/>
  <c r="D11" i="12" s="1"/>
  <c r="D18" i="10"/>
  <c r="C18" i="10"/>
  <c r="D13" i="10"/>
  <c r="D8" i="10"/>
  <c r="O6" i="10"/>
  <c r="D4" i="10"/>
  <c r="D3" i="10"/>
  <c r="G1" i="10"/>
  <c r="I36" i="9"/>
  <c r="H36" i="9"/>
  <c r="G36" i="9"/>
  <c r="G35" i="9"/>
  <c r="H34" i="9"/>
  <c r="G34" i="9"/>
  <c r="I34" i="9" s="1"/>
  <c r="I33" i="9"/>
  <c r="G33" i="9"/>
  <c r="H33" i="9" s="1"/>
  <c r="I32" i="9"/>
  <c r="H32" i="9"/>
  <c r="G32" i="9"/>
  <c r="G31" i="9"/>
  <c r="H30" i="9"/>
  <c r="G30" i="9"/>
  <c r="I30" i="9" s="1"/>
  <c r="I29" i="9"/>
  <c r="G29" i="9"/>
  <c r="H29" i="9" s="1"/>
  <c r="I28" i="9"/>
  <c r="H28" i="9"/>
  <c r="G28" i="9"/>
  <c r="G27" i="9"/>
  <c r="H26" i="9"/>
  <c r="G26" i="9"/>
  <c r="I26" i="9" s="1"/>
  <c r="I25" i="9"/>
  <c r="G25" i="9"/>
  <c r="H25" i="9" s="1"/>
  <c r="I24" i="9"/>
  <c r="H24" i="9"/>
  <c r="G24" i="9"/>
  <c r="G23" i="9"/>
  <c r="H22" i="9"/>
  <c r="G22" i="9"/>
  <c r="I22" i="9" s="1"/>
  <c r="I21" i="9"/>
  <c r="G21" i="9"/>
  <c r="H21" i="9" s="1"/>
  <c r="G20" i="9"/>
  <c r="G19" i="9"/>
  <c r="G18" i="9"/>
  <c r="D13" i="9"/>
  <c r="D8" i="9"/>
  <c r="D4" i="9"/>
  <c r="D3" i="9"/>
  <c r="G1" i="9"/>
  <c r="S112" i="8"/>
  <c r="S111" i="8"/>
  <c r="S110" i="8"/>
  <c r="S109" i="8"/>
  <c r="S108" i="8"/>
  <c r="S107" i="8"/>
  <c r="S106" i="8"/>
  <c r="S105" i="8"/>
  <c r="S104" i="8"/>
  <c r="S103" i="8"/>
  <c r="S102" i="8"/>
  <c r="S101" i="8"/>
  <c r="S100" i="8"/>
  <c r="S99" i="8"/>
  <c r="S98" i="8"/>
  <c r="S97" i="8"/>
  <c r="S96" i="8"/>
  <c r="S95" i="8"/>
  <c r="S94" i="8"/>
  <c r="S93" i="8"/>
  <c r="S92" i="8"/>
  <c r="S91" i="8"/>
  <c r="S90" i="8"/>
  <c r="S89" i="8"/>
  <c r="S88" i="8"/>
  <c r="S87" i="8"/>
  <c r="S86" i="8"/>
  <c r="S85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P64" i="8"/>
  <c r="T111" i="8" s="1"/>
  <c r="N58" i="8"/>
  <c r="G58" i="8"/>
  <c r="B58" i="8"/>
  <c r="N57" i="8"/>
  <c r="G57" i="8"/>
  <c r="B57" i="8"/>
  <c r="N56" i="8"/>
  <c r="G56" i="8"/>
  <c r="B56" i="8"/>
  <c r="N55" i="8"/>
  <c r="G55" i="8"/>
  <c r="B55" i="8"/>
  <c r="N54" i="8"/>
  <c r="G54" i="8"/>
  <c r="B54" i="8"/>
  <c r="N53" i="8"/>
  <c r="G53" i="8"/>
  <c r="B53" i="8"/>
  <c r="N52" i="8"/>
  <c r="G52" i="8"/>
  <c r="B52" i="8"/>
  <c r="N51" i="8"/>
  <c r="G51" i="8"/>
  <c r="B51" i="8"/>
  <c r="N50" i="8"/>
  <c r="G50" i="8"/>
  <c r="B50" i="8"/>
  <c r="N49" i="8"/>
  <c r="G49" i="8"/>
  <c r="B49" i="8"/>
  <c r="N43" i="8"/>
  <c r="B43" i="8"/>
  <c r="N42" i="8"/>
  <c r="B42" i="8"/>
  <c r="N41" i="8"/>
  <c r="B41" i="8"/>
  <c r="N40" i="8"/>
  <c r="B40" i="8"/>
  <c r="N39" i="8"/>
  <c r="B39" i="8"/>
  <c r="N38" i="8"/>
  <c r="B38" i="8"/>
  <c r="N37" i="8"/>
  <c r="B37" i="8"/>
  <c r="N36" i="8"/>
  <c r="B36" i="8"/>
  <c r="N35" i="8"/>
  <c r="B35" i="8"/>
  <c r="N34" i="8"/>
  <c r="B34" i="8"/>
  <c r="D26" i="8"/>
  <c r="D25" i="8"/>
  <c r="C25" i="8"/>
  <c r="O24" i="8"/>
  <c r="D24" i="8"/>
  <c r="C24" i="8"/>
  <c r="D23" i="8"/>
  <c r="C23" i="8"/>
  <c r="D22" i="8"/>
  <c r="C22" i="8"/>
  <c r="B13" i="15" s="1"/>
  <c r="D21" i="8"/>
  <c r="C21" i="8"/>
  <c r="O20" i="8"/>
  <c r="D20" i="8"/>
  <c r="C20" i="8"/>
  <c r="D19" i="8"/>
  <c r="C19" i="8"/>
  <c r="D18" i="8"/>
  <c r="C18" i="8"/>
  <c r="D17" i="8"/>
  <c r="C17" i="8"/>
  <c r="O16" i="8"/>
  <c r="D16" i="8"/>
  <c r="C16" i="8"/>
  <c r="D7" i="8"/>
  <c r="D6" i="8"/>
  <c r="D5" i="8"/>
  <c r="G24" i="6"/>
  <c r="B24" i="6"/>
  <c r="H23" i="6"/>
  <c r="G23" i="6"/>
  <c r="F23" i="6"/>
  <c r="E23" i="6"/>
  <c r="D23" i="6"/>
  <c r="C23" i="6"/>
  <c r="B23" i="6"/>
  <c r="H22" i="6"/>
  <c r="H24" i="6" s="1"/>
  <c r="G22" i="6"/>
  <c r="F22" i="6"/>
  <c r="F24" i="6" s="1"/>
  <c r="E22" i="6"/>
  <c r="E24" i="6" s="1"/>
  <c r="D22" i="6"/>
  <c r="C22" i="6"/>
  <c r="B22" i="6"/>
  <c r="G11" i="6"/>
  <c r="D11" i="6"/>
  <c r="C48" i="15" s="1"/>
  <c r="B11" i="6"/>
  <c r="B48" i="15" s="1"/>
  <c r="G10" i="6"/>
  <c r="D10" i="6"/>
  <c r="C47" i="15" s="1"/>
  <c r="B10" i="6"/>
  <c r="B47" i="15" s="1"/>
  <c r="W48" i="5"/>
  <c r="V48" i="5" s="1"/>
  <c r="U58" i="13" s="1"/>
  <c r="W47" i="5"/>
  <c r="V47" i="5" s="1"/>
  <c r="T58" i="13" s="1"/>
  <c r="U47" i="5"/>
  <c r="W46" i="5"/>
  <c r="V46" i="5"/>
  <c r="U57" i="13" s="1"/>
  <c r="W45" i="5"/>
  <c r="V45" i="5"/>
  <c r="T57" i="13" s="1"/>
  <c r="U45" i="5"/>
  <c r="W44" i="5"/>
  <c r="V44" i="5" s="1"/>
  <c r="U56" i="13" s="1"/>
  <c r="W43" i="5"/>
  <c r="V43" i="5" s="1"/>
  <c r="T56" i="13" s="1"/>
  <c r="U43" i="5"/>
  <c r="W42" i="5"/>
  <c r="V42" i="5"/>
  <c r="U55" i="13" s="1"/>
  <c r="W41" i="5"/>
  <c r="V41" i="5"/>
  <c r="T55" i="13" s="1"/>
  <c r="U41" i="5"/>
  <c r="W40" i="5"/>
  <c r="V40" i="5" s="1"/>
  <c r="U54" i="13" s="1"/>
  <c r="W39" i="5"/>
  <c r="V39" i="5" s="1"/>
  <c r="T54" i="13" s="1"/>
  <c r="U39" i="5"/>
  <c r="W38" i="5"/>
  <c r="V38" i="5" s="1"/>
  <c r="U53" i="13" s="1"/>
  <c r="W37" i="5"/>
  <c r="V37" i="5" s="1"/>
  <c r="T53" i="13" s="1"/>
  <c r="U37" i="5"/>
  <c r="W36" i="5"/>
  <c r="V36" i="5"/>
  <c r="U52" i="13" s="1"/>
  <c r="W35" i="5"/>
  <c r="V35" i="5"/>
  <c r="T52" i="13" s="1"/>
  <c r="U35" i="5"/>
  <c r="W34" i="5"/>
  <c r="V34" i="5" s="1"/>
  <c r="U51" i="13" s="1"/>
  <c r="W33" i="5"/>
  <c r="V33" i="5" s="1"/>
  <c r="T51" i="13" s="1"/>
  <c r="U33" i="5"/>
  <c r="W32" i="5"/>
  <c r="V32" i="5"/>
  <c r="U50" i="13" s="1"/>
  <c r="W31" i="5"/>
  <c r="V31" i="5"/>
  <c r="U31" i="5"/>
  <c r="W30" i="5"/>
  <c r="V30" i="5" s="1"/>
  <c r="U49" i="13" s="1"/>
  <c r="W29" i="5"/>
  <c r="V29" i="5" s="1"/>
  <c r="T49" i="13" s="1"/>
  <c r="U29" i="5"/>
  <c r="W24" i="5"/>
  <c r="V24" i="5"/>
  <c r="I58" i="13" s="1"/>
  <c r="H43" i="13" s="1"/>
  <c r="W23" i="5"/>
  <c r="V23" i="5"/>
  <c r="H58" i="13" s="1"/>
  <c r="F43" i="13" s="1"/>
  <c r="U23" i="5"/>
  <c r="W22" i="5"/>
  <c r="V22" i="5" s="1"/>
  <c r="I57" i="13" s="1"/>
  <c r="H42" i="13" s="1"/>
  <c r="W21" i="5"/>
  <c r="V21" i="5" s="1"/>
  <c r="H57" i="13" s="1"/>
  <c r="U21" i="5"/>
  <c r="W20" i="5"/>
  <c r="V20" i="5"/>
  <c r="I56" i="13" s="1"/>
  <c r="H41" i="13" s="1"/>
  <c r="W19" i="5"/>
  <c r="V19" i="5"/>
  <c r="H56" i="13" s="1"/>
  <c r="F41" i="13" s="1"/>
  <c r="U19" i="5"/>
  <c r="W18" i="5"/>
  <c r="V18" i="5" s="1"/>
  <c r="I55" i="13" s="1"/>
  <c r="H40" i="13" s="1"/>
  <c r="W17" i="5"/>
  <c r="V17" i="5" s="1"/>
  <c r="H55" i="13" s="1"/>
  <c r="U17" i="5"/>
  <c r="W16" i="5"/>
  <c r="V16" i="5"/>
  <c r="I54" i="13" s="1"/>
  <c r="H39" i="13" s="1"/>
  <c r="W15" i="5"/>
  <c r="V15" i="5"/>
  <c r="H54" i="13" s="1"/>
  <c r="F39" i="13" s="1"/>
  <c r="U15" i="5"/>
  <c r="W14" i="5"/>
  <c r="V14" i="5" s="1"/>
  <c r="I53" i="13" s="1"/>
  <c r="H38" i="13" s="1"/>
  <c r="W13" i="5"/>
  <c r="V13" i="5" s="1"/>
  <c r="H53" i="13" s="1"/>
  <c r="F38" i="13" s="1"/>
  <c r="U13" i="5"/>
  <c r="W12" i="5"/>
  <c r="V12" i="5"/>
  <c r="I52" i="13" s="1"/>
  <c r="H37" i="13" s="1"/>
  <c r="W11" i="5"/>
  <c r="V11" i="5"/>
  <c r="U11" i="5"/>
  <c r="W10" i="5"/>
  <c r="V10" i="5" s="1"/>
  <c r="I51" i="13" s="1"/>
  <c r="H36" i="13" s="1"/>
  <c r="W9" i="5"/>
  <c r="V9" i="5" s="1"/>
  <c r="H51" i="13" s="1"/>
  <c r="F36" i="13" s="1"/>
  <c r="U9" i="5"/>
  <c r="W8" i="5"/>
  <c r="V8" i="5"/>
  <c r="I50" i="13" s="1"/>
  <c r="H35" i="13" s="1"/>
  <c r="W7" i="5"/>
  <c r="V7" i="5"/>
  <c r="H50" i="13" s="1"/>
  <c r="F35" i="13" s="1"/>
  <c r="U7" i="5"/>
  <c r="W6" i="5"/>
  <c r="V6" i="5" s="1"/>
  <c r="I49" i="13" s="1"/>
  <c r="H34" i="13" s="1"/>
  <c r="W5" i="5"/>
  <c r="V5" i="5" s="1"/>
  <c r="H49" i="13" s="1"/>
  <c r="F34" i="13" s="1"/>
  <c r="U5" i="5"/>
  <c r="W48" i="4"/>
  <c r="V48" i="4"/>
  <c r="U58" i="8" s="1"/>
  <c r="W47" i="4"/>
  <c r="V47" i="4"/>
  <c r="T58" i="8" s="1"/>
  <c r="U47" i="4"/>
  <c r="W46" i="4"/>
  <c r="V46" i="4" s="1"/>
  <c r="U57" i="8" s="1"/>
  <c r="W45" i="4"/>
  <c r="V45" i="4" s="1"/>
  <c r="T57" i="8" s="1"/>
  <c r="U45" i="4"/>
  <c r="W44" i="4"/>
  <c r="V44" i="4"/>
  <c r="U56" i="8" s="1"/>
  <c r="W43" i="4"/>
  <c r="V43" i="4"/>
  <c r="T56" i="8" s="1"/>
  <c r="U43" i="4"/>
  <c r="W42" i="4"/>
  <c r="V42" i="4" s="1"/>
  <c r="U55" i="8" s="1"/>
  <c r="W41" i="4"/>
  <c r="V41" i="4" s="1"/>
  <c r="T55" i="8" s="1"/>
  <c r="U41" i="4"/>
  <c r="W40" i="4"/>
  <c r="V40" i="4"/>
  <c r="U54" i="8" s="1"/>
  <c r="W39" i="4"/>
  <c r="V39" i="4"/>
  <c r="T54" i="8" s="1"/>
  <c r="U39" i="4"/>
  <c r="W38" i="4"/>
  <c r="V38" i="4" s="1"/>
  <c r="U53" i="8" s="1"/>
  <c r="W37" i="4"/>
  <c r="V37" i="4" s="1"/>
  <c r="T53" i="8" s="1"/>
  <c r="U37" i="4"/>
  <c r="W36" i="4"/>
  <c r="V36" i="4"/>
  <c r="U52" i="8" s="1"/>
  <c r="W35" i="4"/>
  <c r="V35" i="4"/>
  <c r="T52" i="8" s="1"/>
  <c r="U35" i="4"/>
  <c r="W34" i="4"/>
  <c r="V34" i="4" s="1"/>
  <c r="U51" i="8" s="1"/>
  <c r="W33" i="4"/>
  <c r="V33" i="4" s="1"/>
  <c r="T51" i="8" s="1"/>
  <c r="U33" i="4"/>
  <c r="W32" i="4"/>
  <c r="V32" i="4"/>
  <c r="U50" i="8" s="1"/>
  <c r="W31" i="4"/>
  <c r="V31" i="4"/>
  <c r="T50" i="8" s="1"/>
  <c r="U31" i="4"/>
  <c r="W30" i="4"/>
  <c r="V30" i="4" s="1"/>
  <c r="U49" i="8" s="1"/>
  <c r="W29" i="4"/>
  <c r="V29" i="4" s="1"/>
  <c r="T49" i="8" s="1"/>
  <c r="U29" i="4"/>
  <c r="W24" i="4"/>
  <c r="V24" i="4"/>
  <c r="I58" i="8" s="1"/>
  <c r="W23" i="4"/>
  <c r="V23" i="4"/>
  <c r="H58" i="8" s="1"/>
  <c r="U23" i="4"/>
  <c r="W22" i="4"/>
  <c r="V22" i="4" s="1"/>
  <c r="I57" i="8" s="1"/>
  <c r="W21" i="4"/>
  <c r="V21" i="4" s="1"/>
  <c r="H57" i="8" s="1"/>
  <c r="F42" i="8" s="1"/>
  <c r="U21" i="4"/>
  <c r="W20" i="4"/>
  <c r="V20" i="4"/>
  <c r="I56" i="8" s="1"/>
  <c r="W19" i="4"/>
  <c r="V19" i="4"/>
  <c r="H56" i="8" s="1"/>
  <c r="F41" i="8" s="1"/>
  <c r="U19" i="4"/>
  <c r="W18" i="4"/>
  <c r="V18" i="4" s="1"/>
  <c r="I55" i="8" s="1"/>
  <c r="W17" i="4"/>
  <c r="V17" i="4" s="1"/>
  <c r="H55" i="8" s="1"/>
  <c r="F40" i="8" s="1"/>
  <c r="U17" i="4"/>
  <c r="W16" i="4"/>
  <c r="V16" i="4"/>
  <c r="I54" i="8" s="1"/>
  <c r="W15" i="4"/>
  <c r="V15" i="4"/>
  <c r="H54" i="8" s="1"/>
  <c r="F39" i="8" s="1"/>
  <c r="U15" i="4"/>
  <c r="W14" i="4"/>
  <c r="V14" i="4" s="1"/>
  <c r="I53" i="8" s="1"/>
  <c r="W13" i="4"/>
  <c r="V13" i="4" s="1"/>
  <c r="H53" i="8" s="1"/>
  <c r="F38" i="8" s="1"/>
  <c r="U13" i="4"/>
  <c r="W12" i="4"/>
  <c r="V12" i="4"/>
  <c r="I52" i="8" s="1"/>
  <c r="W11" i="4"/>
  <c r="V11" i="4"/>
  <c r="H52" i="8" s="1"/>
  <c r="U11" i="4"/>
  <c r="W10" i="4"/>
  <c r="V10" i="4" s="1"/>
  <c r="W9" i="4"/>
  <c r="V9" i="4" s="1"/>
  <c r="U9" i="4"/>
  <c r="W8" i="4"/>
  <c r="V8" i="4"/>
  <c r="W7" i="4"/>
  <c r="V7" i="4"/>
  <c r="H50" i="8" s="1"/>
  <c r="F35" i="8" s="1"/>
  <c r="U7" i="4"/>
  <c r="W6" i="4"/>
  <c r="V6" i="4" s="1"/>
  <c r="W5" i="4"/>
  <c r="V5" i="4" s="1"/>
  <c r="U5" i="4"/>
  <c r="K11" i="3"/>
  <c r="Q25" i="13" s="1"/>
  <c r="J11" i="3"/>
  <c r="P25" i="8" s="1"/>
  <c r="I11" i="3"/>
  <c r="O25" i="13" s="1"/>
  <c r="H11" i="3"/>
  <c r="B11" i="3"/>
  <c r="K10" i="3"/>
  <c r="Q24" i="13" s="1"/>
  <c r="J10" i="3"/>
  <c r="I10" i="3"/>
  <c r="O24" i="13" s="1"/>
  <c r="H10" i="3"/>
  <c r="N24" i="8" s="1"/>
  <c r="B10" i="3"/>
  <c r="K9" i="3"/>
  <c r="Q23" i="13" s="1"/>
  <c r="J9" i="3"/>
  <c r="P23" i="8" s="1"/>
  <c r="I9" i="3"/>
  <c r="O23" i="13" s="1"/>
  <c r="H9" i="3"/>
  <c r="B9" i="3"/>
  <c r="K8" i="3"/>
  <c r="Q22" i="13" s="1"/>
  <c r="J8" i="3"/>
  <c r="I8" i="3"/>
  <c r="O22" i="13" s="1"/>
  <c r="H8" i="3"/>
  <c r="N22" i="8" s="1"/>
  <c r="B8" i="3"/>
  <c r="K7" i="3"/>
  <c r="Q21" i="13" s="1"/>
  <c r="J7" i="3"/>
  <c r="P21" i="8" s="1"/>
  <c r="I7" i="3"/>
  <c r="O21" i="13" s="1"/>
  <c r="H7" i="3"/>
  <c r="B7" i="3"/>
  <c r="K6" i="3"/>
  <c r="Q20" i="13" s="1"/>
  <c r="J6" i="3"/>
  <c r="I6" i="3"/>
  <c r="O20" i="13" s="1"/>
  <c r="H6" i="3"/>
  <c r="N20" i="8" s="1"/>
  <c r="B6" i="3"/>
  <c r="K5" i="3"/>
  <c r="Q19" i="13" s="1"/>
  <c r="J5" i="3"/>
  <c r="P19" i="8" s="1"/>
  <c r="I5" i="3"/>
  <c r="O19" i="13" s="1"/>
  <c r="H5" i="3"/>
  <c r="B5" i="3"/>
  <c r="K4" i="3"/>
  <c r="Q18" i="13" s="1"/>
  <c r="J4" i="3"/>
  <c r="I4" i="3"/>
  <c r="O18" i="13" s="1"/>
  <c r="H4" i="3"/>
  <c r="N18" i="8" s="1"/>
  <c r="B4" i="3"/>
  <c r="K3" i="3"/>
  <c r="Q17" i="13" s="1"/>
  <c r="J3" i="3"/>
  <c r="P17" i="8" s="1"/>
  <c r="I3" i="3"/>
  <c r="O17" i="13" s="1"/>
  <c r="H3" i="3"/>
  <c r="B3" i="3"/>
  <c r="K2" i="3"/>
  <c r="Q16" i="13" s="1"/>
  <c r="J2" i="3"/>
  <c r="I2" i="3"/>
  <c r="O16" i="13" s="1"/>
  <c r="H2" i="3"/>
  <c r="N16" i="8" s="1"/>
  <c r="B2" i="3"/>
  <c r="F46" i="1"/>
  <c r="K45" i="1"/>
  <c r="G45" i="1"/>
  <c r="H45" i="1" s="1"/>
  <c r="I45" i="1" s="1"/>
  <c r="K44" i="1"/>
  <c r="G44" i="1"/>
  <c r="H44" i="1" s="1"/>
  <c r="I44" i="1" s="1"/>
  <c r="K43" i="1"/>
  <c r="G43" i="1"/>
  <c r="H43" i="1" s="1"/>
  <c r="I43" i="1" s="1"/>
  <c r="K42" i="1"/>
  <c r="G42" i="1"/>
  <c r="H42" i="1" s="1"/>
  <c r="I42" i="1" s="1"/>
  <c r="K41" i="1"/>
  <c r="G41" i="1"/>
  <c r="H41" i="1" s="1"/>
  <c r="I41" i="1" s="1"/>
  <c r="K40" i="1"/>
  <c r="G40" i="1"/>
  <c r="H40" i="1" s="1"/>
  <c r="I40" i="1" s="1"/>
  <c r="K39" i="1"/>
  <c r="G39" i="1"/>
  <c r="H39" i="1" s="1"/>
  <c r="I39" i="1" s="1"/>
  <c r="K38" i="1"/>
  <c r="G38" i="1"/>
  <c r="H38" i="1" s="1"/>
  <c r="I38" i="1" s="1"/>
  <c r="K37" i="1"/>
  <c r="G37" i="1"/>
  <c r="H37" i="1" s="1"/>
  <c r="I37" i="1" s="1"/>
  <c r="K36" i="1"/>
  <c r="G36" i="1"/>
  <c r="H36" i="1" s="1"/>
  <c r="I36" i="1" s="1"/>
  <c r="K35" i="1"/>
  <c r="S58" i="13" s="1"/>
  <c r="T43" i="13" s="1"/>
  <c r="G35" i="1"/>
  <c r="H35" i="1" s="1"/>
  <c r="I35" i="1" s="1"/>
  <c r="K34" i="1"/>
  <c r="S57" i="13" s="1"/>
  <c r="G34" i="1"/>
  <c r="H34" i="1" s="1"/>
  <c r="I34" i="1" s="1"/>
  <c r="K33" i="1"/>
  <c r="S56" i="13" s="1"/>
  <c r="T41" i="13" s="1"/>
  <c r="G33" i="1"/>
  <c r="H33" i="1" s="1"/>
  <c r="I33" i="1" s="1"/>
  <c r="K32" i="1"/>
  <c r="S55" i="13" s="1"/>
  <c r="G32" i="1"/>
  <c r="H32" i="1" s="1"/>
  <c r="I32" i="1" s="1"/>
  <c r="K31" i="1"/>
  <c r="S54" i="13" s="1"/>
  <c r="G31" i="1"/>
  <c r="H31" i="1" s="1"/>
  <c r="I31" i="1" s="1"/>
  <c r="K30" i="1"/>
  <c r="S53" i="13" s="1"/>
  <c r="G30" i="1"/>
  <c r="G46" i="1" s="1"/>
  <c r="H46" i="1" s="1"/>
  <c r="K29" i="1"/>
  <c r="S52" i="13" s="1"/>
  <c r="K28" i="1"/>
  <c r="S51" i="13" s="1"/>
  <c r="K27" i="1"/>
  <c r="S50" i="13" s="1"/>
  <c r="K26" i="1"/>
  <c r="S49" i="13" s="1"/>
  <c r="N6" i="1"/>
  <c r="F72" i="15" l="1"/>
  <c r="E72" i="15"/>
  <c r="E76" i="15" s="1"/>
  <c r="D69" i="15"/>
  <c r="D72" i="15"/>
  <c r="H62" i="15"/>
  <c r="C71" i="15"/>
  <c r="I76" i="15"/>
  <c r="G71" i="15"/>
  <c r="G76" i="15" s="1"/>
  <c r="C76" i="15"/>
  <c r="E62" i="15"/>
  <c r="D62" i="15"/>
  <c r="I49" i="8"/>
  <c r="E18" i="9"/>
  <c r="I18" i="9" s="1"/>
  <c r="E20" i="9"/>
  <c r="I20" i="9" s="1"/>
  <c r="I51" i="8"/>
  <c r="H36" i="8" s="1"/>
  <c r="T40" i="13"/>
  <c r="R40" i="13"/>
  <c r="T42" i="13"/>
  <c r="R42" i="13"/>
  <c r="H44" i="13"/>
  <c r="AB39" i="13"/>
  <c r="H40" i="15" s="1"/>
  <c r="D18" i="9"/>
  <c r="H18" i="9" s="1"/>
  <c r="H49" i="8"/>
  <c r="D20" i="9"/>
  <c r="H20" i="9" s="1"/>
  <c r="H51" i="8"/>
  <c r="F36" i="8" s="1"/>
  <c r="AB36" i="13"/>
  <c r="H37" i="15" s="1"/>
  <c r="S59" i="13"/>
  <c r="F41" i="15" s="1"/>
  <c r="T34" i="13"/>
  <c r="N19" i="8"/>
  <c r="N19" i="13"/>
  <c r="O18" i="8"/>
  <c r="O22" i="8"/>
  <c r="I31" i="9"/>
  <c r="H31" i="9"/>
  <c r="I35" i="9"/>
  <c r="H35" i="9"/>
  <c r="M18" i="13"/>
  <c r="M20" i="13"/>
  <c r="M22" i="13"/>
  <c r="M24" i="13"/>
  <c r="S112" i="13"/>
  <c r="S110" i="13"/>
  <c r="S108" i="13"/>
  <c r="S106" i="13"/>
  <c r="S104" i="13"/>
  <c r="S102" i="13"/>
  <c r="S100" i="13"/>
  <c r="S98" i="13"/>
  <c r="S96" i="13"/>
  <c r="S94" i="13"/>
  <c r="S92" i="13"/>
  <c r="S90" i="13"/>
  <c r="S87" i="13"/>
  <c r="S85" i="13"/>
  <c r="S83" i="13"/>
  <c r="S81" i="13"/>
  <c r="S79" i="13"/>
  <c r="S77" i="13"/>
  <c r="S75" i="13"/>
  <c r="S73" i="13"/>
  <c r="S71" i="13"/>
  <c r="S69" i="13"/>
  <c r="S67" i="13"/>
  <c r="T111" i="13"/>
  <c r="T109" i="13"/>
  <c r="T107" i="13"/>
  <c r="T105" i="13"/>
  <c r="T103" i="13"/>
  <c r="T101" i="13"/>
  <c r="T99" i="13"/>
  <c r="T97" i="13"/>
  <c r="T95" i="13"/>
  <c r="T93" i="13"/>
  <c r="T91" i="13"/>
  <c r="T89" i="13"/>
  <c r="T88" i="13"/>
  <c r="T86" i="13"/>
  <c r="T84" i="13"/>
  <c r="T82" i="13"/>
  <c r="T80" i="13"/>
  <c r="T78" i="13"/>
  <c r="T76" i="13"/>
  <c r="T74" i="13"/>
  <c r="T72" i="13"/>
  <c r="T70" i="13"/>
  <c r="T68" i="13"/>
  <c r="T66" i="13"/>
  <c r="S111" i="13"/>
  <c r="S109" i="13"/>
  <c r="S107" i="13"/>
  <c r="S105" i="13"/>
  <c r="S103" i="13"/>
  <c r="S101" i="13"/>
  <c r="S99" i="13"/>
  <c r="S97" i="13"/>
  <c r="S95" i="13"/>
  <c r="S93" i="13"/>
  <c r="S91" i="13"/>
  <c r="S89" i="13"/>
  <c r="S88" i="13"/>
  <c r="S86" i="13"/>
  <c r="S84" i="13"/>
  <c r="S82" i="13"/>
  <c r="S80" i="13"/>
  <c r="S78" i="13"/>
  <c r="S76" i="13"/>
  <c r="S74" i="13"/>
  <c r="S72" i="13"/>
  <c r="S70" i="13"/>
  <c r="S68" i="13"/>
  <c r="S66" i="13"/>
  <c r="T108" i="13"/>
  <c r="T100" i="13"/>
  <c r="T92" i="13"/>
  <c r="T87" i="13"/>
  <c r="T79" i="13"/>
  <c r="T71" i="13"/>
  <c r="T106" i="13"/>
  <c r="T98" i="13"/>
  <c r="T90" i="13"/>
  <c r="T85" i="13"/>
  <c r="T77" i="13"/>
  <c r="T69" i="13"/>
  <c r="T112" i="13"/>
  <c r="T104" i="13"/>
  <c r="T96" i="13"/>
  <c r="T83" i="13"/>
  <c r="T75" i="13"/>
  <c r="T67" i="13"/>
  <c r="T94" i="13"/>
  <c r="F36" i="15"/>
  <c r="T35" i="13"/>
  <c r="AC35" i="13" s="1"/>
  <c r="I36" i="15" s="1"/>
  <c r="R35" i="13"/>
  <c r="AB35" i="13" s="1"/>
  <c r="H36" i="15" s="1"/>
  <c r="H30" i="1"/>
  <c r="I30" i="1" s="1"/>
  <c r="I46" i="1" s="1"/>
  <c r="P18" i="8"/>
  <c r="P18" i="13"/>
  <c r="P22" i="8"/>
  <c r="P22" i="13"/>
  <c r="Q16" i="8"/>
  <c r="Q18" i="8"/>
  <c r="L20" i="8"/>
  <c r="Q20" i="8"/>
  <c r="J22" i="8"/>
  <c r="Q22" i="8"/>
  <c r="Q24" i="8"/>
  <c r="G28" i="15"/>
  <c r="G59" i="8"/>
  <c r="G34" i="15" s="1"/>
  <c r="H34" i="8"/>
  <c r="G29" i="15"/>
  <c r="G30" i="15"/>
  <c r="G31" i="15"/>
  <c r="H37" i="8"/>
  <c r="G32" i="15"/>
  <c r="H38" i="8"/>
  <c r="G33" i="15"/>
  <c r="H39" i="8"/>
  <c r="H40" i="8"/>
  <c r="H41" i="8"/>
  <c r="H42" i="8"/>
  <c r="H43" i="8"/>
  <c r="F43" i="8"/>
  <c r="J16" i="13"/>
  <c r="L17" i="13"/>
  <c r="J18" i="13"/>
  <c r="L19" i="13"/>
  <c r="J20" i="13"/>
  <c r="L21" i="13"/>
  <c r="J22" i="13"/>
  <c r="L23" i="13"/>
  <c r="J24" i="13"/>
  <c r="R43" i="13"/>
  <c r="F40" i="13"/>
  <c r="F44" i="13" s="1"/>
  <c r="F42" i="13"/>
  <c r="T73" i="13"/>
  <c r="T102" i="13"/>
  <c r="I23" i="9"/>
  <c r="H23" i="9"/>
  <c r="I27" i="9"/>
  <c r="H27" i="9"/>
  <c r="F37" i="15"/>
  <c r="T36" i="13"/>
  <c r="AC36" i="13" s="1"/>
  <c r="I37" i="15" s="1"/>
  <c r="R36" i="13"/>
  <c r="N17" i="8"/>
  <c r="N17" i="13"/>
  <c r="N21" i="8"/>
  <c r="N21" i="13"/>
  <c r="N25" i="8"/>
  <c r="N25" i="13"/>
  <c r="I50" i="8"/>
  <c r="H35" i="8" s="1"/>
  <c r="E19" i="9"/>
  <c r="I19" i="9" s="1"/>
  <c r="O17" i="8"/>
  <c r="O19" i="8"/>
  <c r="O21" i="8"/>
  <c r="O23" i="8"/>
  <c r="O25" i="8"/>
  <c r="N16" i="13"/>
  <c r="P17" i="13"/>
  <c r="N18" i="13"/>
  <c r="P19" i="13"/>
  <c r="N20" i="13"/>
  <c r="P21" i="13"/>
  <c r="N22" i="13"/>
  <c r="P23" i="13"/>
  <c r="N24" i="13"/>
  <c r="P25" i="13"/>
  <c r="T81" i="13"/>
  <c r="T110" i="13"/>
  <c r="F35" i="15"/>
  <c r="N23" i="8"/>
  <c r="N23" i="13"/>
  <c r="E21" i="15"/>
  <c r="J25" i="13"/>
  <c r="L24" i="13"/>
  <c r="J23" i="13"/>
  <c r="L22" i="13"/>
  <c r="J21" i="13"/>
  <c r="L20" i="13"/>
  <c r="J19" i="13"/>
  <c r="L18" i="13"/>
  <c r="J17" i="13"/>
  <c r="L16" i="13"/>
  <c r="K24" i="13"/>
  <c r="K22" i="13"/>
  <c r="K20" i="13"/>
  <c r="K18" i="13"/>
  <c r="K16" i="13"/>
  <c r="K17" i="13"/>
  <c r="K19" i="13"/>
  <c r="K21" i="13"/>
  <c r="K23" i="13"/>
  <c r="K25" i="13"/>
  <c r="R34" i="13"/>
  <c r="AB34" i="13" s="1"/>
  <c r="H35" i="15" s="1"/>
  <c r="I5" i="18"/>
  <c r="I6" i="18" s="1"/>
  <c r="I5" i="17"/>
  <c r="I6" i="17" s="1"/>
  <c r="I5" i="19"/>
  <c r="I6" i="19" s="1"/>
  <c r="I5" i="16"/>
  <c r="I6" i="16" s="1"/>
  <c r="F38" i="15"/>
  <c r="T37" i="13"/>
  <c r="AC37" i="13" s="1"/>
  <c r="I38" i="15" s="1"/>
  <c r="R37" i="13"/>
  <c r="AB37" i="13" s="1"/>
  <c r="H38" i="15" s="1"/>
  <c r="T38" i="13"/>
  <c r="AC38" i="13" s="1"/>
  <c r="I39" i="15" s="1"/>
  <c r="R38" i="13"/>
  <c r="AB38" i="13" s="1"/>
  <c r="H39" i="15" s="1"/>
  <c r="F39" i="15"/>
  <c r="F40" i="15"/>
  <c r="T39" i="13"/>
  <c r="AC39" i="13" s="1"/>
  <c r="I40" i="15" s="1"/>
  <c r="R39" i="13"/>
  <c r="P16" i="8"/>
  <c r="P16" i="13"/>
  <c r="P20" i="8"/>
  <c r="P20" i="13"/>
  <c r="P24" i="8"/>
  <c r="P24" i="13"/>
  <c r="L17" i="8"/>
  <c r="Q17" i="8"/>
  <c r="L19" i="8"/>
  <c r="Q19" i="8"/>
  <c r="L21" i="8"/>
  <c r="Q21" i="8"/>
  <c r="L23" i="8"/>
  <c r="Q23" i="8"/>
  <c r="J25" i="8"/>
  <c r="L25" i="8"/>
  <c r="Q25" i="8"/>
  <c r="D27" i="8"/>
  <c r="L16" i="8" s="1"/>
  <c r="F34" i="8"/>
  <c r="F37" i="8"/>
  <c r="S49" i="8"/>
  <c r="S50" i="8"/>
  <c r="S51" i="8"/>
  <c r="S52" i="8"/>
  <c r="S53" i="8"/>
  <c r="S54" i="8"/>
  <c r="S55" i="8"/>
  <c r="S56" i="8"/>
  <c r="S57" i="8"/>
  <c r="S58" i="8"/>
  <c r="D19" i="9"/>
  <c r="H19" i="9" s="1"/>
  <c r="I19" i="10"/>
  <c r="H19" i="10"/>
  <c r="B65" i="15"/>
  <c r="B72" i="15" s="1"/>
  <c r="B36" i="15"/>
  <c r="B16" i="15"/>
  <c r="B67" i="15"/>
  <c r="B74" i="15" s="1"/>
  <c r="B18" i="15"/>
  <c r="B38" i="15"/>
  <c r="B40" i="15"/>
  <c r="B20" i="15"/>
  <c r="R41" i="13"/>
  <c r="B58" i="15"/>
  <c r="B29" i="15"/>
  <c r="B8" i="15"/>
  <c r="B60" i="15"/>
  <c r="B10" i="15"/>
  <c r="B33" i="15"/>
  <c r="B12" i="15"/>
  <c r="T67" i="8"/>
  <c r="T69" i="8"/>
  <c r="T71" i="8"/>
  <c r="T73" i="8"/>
  <c r="T75" i="8"/>
  <c r="T77" i="8"/>
  <c r="T79" i="8"/>
  <c r="T81" i="8"/>
  <c r="T83" i="8"/>
  <c r="T85" i="8"/>
  <c r="T87" i="8"/>
  <c r="T90" i="8"/>
  <c r="T92" i="8"/>
  <c r="T94" i="8"/>
  <c r="T96" i="8"/>
  <c r="T98" i="8"/>
  <c r="T100" i="8"/>
  <c r="T102" i="8"/>
  <c r="T104" i="8"/>
  <c r="T106" i="8"/>
  <c r="T108" i="8"/>
  <c r="T110" i="8"/>
  <c r="T112" i="8"/>
  <c r="M17" i="13"/>
  <c r="M19" i="13"/>
  <c r="M21" i="13"/>
  <c r="M23" i="13"/>
  <c r="M25" i="13"/>
  <c r="B64" i="15"/>
  <c r="B71" i="15" s="1"/>
  <c r="B35" i="15"/>
  <c r="B66" i="15"/>
  <c r="B73" i="15" s="1"/>
  <c r="B37" i="15"/>
  <c r="B68" i="15"/>
  <c r="B75" i="15" s="1"/>
  <c r="B39" i="15"/>
  <c r="B15" i="15"/>
  <c r="B17" i="15"/>
  <c r="B19" i="15"/>
  <c r="B57" i="15"/>
  <c r="B28" i="15"/>
  <c r="B7" i="15"/>
  <c r="B59" i="15"/>
  <c r="B30" i="15"/>
  <c r="B9" i="15"/>
  <c r="B61" i="15"/>
  <c r="B32" i="15"/>
  <c r="B11" i="15"/>
  <c r="T66" i="8"/>
  <c r="T68" i="8"/>
  <c r="T70" i="8"/>
  <c r="T72" i="8"/>
  <c r="T74" i="8"/>
  <c r="T76" i="8"/>
  <c r="T78" i="8"/>
  <c r="T80" i="8"/>
  <c r="T82" i="8"/>
  <c r="T84" i="8"/>
  <c r="T86" i="8"/>
  <c r="T88" i="8"/>
  <c r="T89" i="8"/>
  <c r="T91" i="8"/>
  <c r="T93" i="8"/>
  <c r="T95" i="8"/>
  <c r="T97" i="8"/>
  <c r="T99" i="8"/>
  <c r="T101" i="8"/>
  <c r="T103" i="8"/>
  <c r="T105" i="8"/>
  <c r="T107" i="8"/>
  <c r="T109" i="8"/>
  <c r="M16" i="13"/>
  <c r="G59" i="13"/>
  <c r="G41" i="15" s="1"/>
  <c r="G35" i="15"/>
  <c r="B31" i="15"/>
  <c r="X51" i="15"/>
  <c r="X49" i="15"/>
  <c r="X48" i="15"/>
  <c r="X46" i="15"/>
  <c r="Y50" i="15"/>
  <c r="Y47" i="15"/>
  <c r="Y45" i="15"/>
  <c r="X50" i="15"/>
  <c r="X47" i="15"/>
  <c r="Y42" i="15"/>
  <c r="Y43" i="15"/>
  <c r="X45" i="15"/>
  <c r="Y49" i="15"/>
  <c r="D75" i="15"/>
  <c r="H75" i="15"/>
  <c r="I62" i="15"/>
  <c r="X44" i="15"/>
  <c r="Y46" i="15"/>
  <c r="Y51" i="15"/>
  <c r="F76" i="15"/>
  <c r="J76" i="15"/>
  <c r="F62" i="15"/>
  <c r="J62" i="15"/>
  <c r="D71" i="15"/>
  <c r="H71" i="15"/>
  <c r="H59" i="13" l="1"/>
  <c r="R42" i="8"/>
  <c r="T42" i="8"/>
  <c r="S47" i="19"/>
  <c r="S45" i="19"/>
  <c r="S43" i="19"/>
  <c r="S41" i="19"/>
  <c r="S39" i="19"/>
  <c r="S37" i="19"/>
  <c r="S35" i="19"/>
  <c r="S33" i="19"/>
  <c r="S31" i="19"/>
  <c r="S29" i="19"/>
  <c r="S27" i="19"/>
  <c r="S26" i="19"/>
  <c r="S24" i="19"/>
  <c r="S22" i="19"/>
  <c r="S20" i="19"/>
  <c r="S18" i="19"/>
  <c r="S16" i="19"/>
  <c r="S14" i="19"/>
  <c r="S12" i="19"/>
  <c r="S10" i="19"/>
  <c r="S8" i="19"/>
  <c r="S6" i="19"/>
  <c r="P5" i="19"/>
  <c r="S3" i="19"/>
  <c r="S1" i="19"/>
  <c r="P47" i="19"/>
  <c r="S46" i="19"/>
  <c r="P46" i="19"/>
  <c r="P44" i="19"/>
  <c r="P42" i="19"/>
  <c r="P40" i="19"/>
  <c r="P38" i="19"/>
  <c r="P36" i="19"/>
  <c r="P34" i="19"/>
  <c r="P32" i="19"/>
  <c r="P30" i="19"/>
  <c r="P28" i="19"/>
  <c r="P25" i="19"/>
  <c r="P23" i="19"/>
  <c r="P21" i="19"/>
  <c r="P19" i="19"/>
  <c r="P17" i="19"/>
  <c r="P15" i="19"/>
  <c r="P13" i="19"/>
  <c r="P11" i="19"/>
  <c r="P9" i="19"/>
  <c r="P7" i="19"/>
  <c r="S5" i="19"/>
  <c r="P4" i="19"/>
  <c r="P2" i="19"/>
  <c r="P45" i="19"/>
  <c r="P41" i="19"/>
  <c r="P37" i="19"/>
  <c r="P33" i="19"/>
  <c r="P29" i="19"/>
  <c r="S23" i="19"/>
  <c r="S19" i="19"/>
  <c r="S15" i="19"/>
  <c r="S11" i="19"/>
  <c r="S7" i="19"/>
  <c r="S4" i="19"/>
  <c r="S44" i="19"/>
  <c r="S40" i="19"/>
  <c r="S36" i="19"/>
  <c r="S32" i="19"/>
  <c r="S28" i="19"/>
  <c r="P26" i="19"/>
  <c r="P22" i="19"/>
  <c r="P18" i="19"/>
  <c r="P14" i="19"/>
  <c r="P10" i="19"/>
  <c r="P6" i="19"/>
  <c r="P3" i="19"/>
  <c r="P43" i="19"/>
  <c r="P39" i="19"/>
  <c r="P35" i="19"/>
  <c r="P31" i="19"/>
  <c r="P27" i="19"/>
  <c r="S25" i="19"/>
  <c r="S21" i="19"/>
  <c r="S17" i="19"/>
  <c r="S13" i="19"/>
  <c r="S9" i="19"/>
  <c r="S2" i="19"/>
  <c r="S42" i="19"/>
  <c r="P16" i="19"/>
  <c r="P1" i="19"/>
  <c r="S38" i="19"/>
  <c r="P12" i="19"/>
  <c r="S34" i="19"/>
  <c r="P24" i="19"/>
  <c r="P8" i="19"/>
  <c r="S30" i="19"/>
  <c r="P20" i="19"/>
  <c r="R41" i="8"/>
  <c r="T41" i="8"/>
  <c r="F31" i="15"/>
  <c r="R37" i="8"/>
  <c r="T37" i="8"/>
  <c r="AC37" i="8" s="1"/>
  <c r="I31" i="15" s="1"/>
  <c r="AB37" i="8"/>
  <c r="H31" i="15" s="1"/>
  <c r="S47" i="17"/>
  <c r="S45" i="17"/>
  <c r="S43" i="17"/>
  <c r="S41" i="17"/>
  <c r="S39" i="17"/>
  <c r="S37" i="17"/>
  <c r="S35" i="17"/>
  <c r="S33" i="17"/>
  <c r="S31" i="17"/>
  <c r="S29" i="17"/>
  <c r="S27" i="17"/>
  <c r="S26" i="17"/>
  <c r="S24" i="17"/>
  <c r="S22" i="17"/>
  <c r="S20" i="17"/>
  <c r="S18" i="17"/>
  <c r="S16" i="17"/>
  <c r="S14" i="17"/>
  <c r="S12" i="17"/>
  <c r="S10" i="17"/>
  <c r="S8" i="17"/>
  <c r="S6" i="17"/>
  <c r="P5" i="17"/>
  <c r="S3" i="17"/>
  <c r="S1" i="17"/>
  <c r="P46" i="17"/>
  <c r="P44" i="17"/>
  <c r="P42" i="17"/>
  <c r="P40" i="17"/>
  <c r="P38" i="17"/>
  <c r="P36" i="17"/>
  <c r="P34" i="17"/>
  <c r="P32" i="17"/>
  <c r="P30" i="17"/>
  <c r="P28" i="17"/>
  <c r="P25" i="17"/>
  <c r="P23" i="17"/>
  <c r="P21" i="17"/>
  <c r="P19" i="17"/>
  <c r="P17" i="17"/>
  <c r="P15" i="17"/>
  <c r="P13" i="17"/>
  <c r="P11" i="17"/>
  <c r="P9" i="17"/>
  <c r="P7" i="17"/>
  <c r="S5" i="17"/>
  <c r="P4" i="17"/>
  <c r="P2" i="17"/>
  <c r="S44" i="17"/>
  <c r="S40" i="17"/>
  <c r="S36" i="17"/>
  <c r="S32" i="17"/>
  <c r="S28" i="17"/>
  <c r="P26" i="17"/>
  <c r="P22" i="17"/>
  <c r="P18" i="17"/>
  <c r="P14" i="17"/>
  <c r="P10" i="17"/>
  <c r="P6" i="17"/>
  <c r="P3" i="17"/>
  <c r="P47" i="17"/>
  <c r="P43" i="17"/>
  <c r="P39" i="17"/>
  <c r="P35" i="17"/>
  <c r="P31" i="17"/>
  <c r="P27" i="17"/>
  <c r="S25" i="17"/>
  <c r="S21" i="17"/>
  <c r="S17" i="17"/>
  <c r="S13" i="17"/>
  <c r="S9" i="17"/>
  <c r="S2" i="17"/>
  <c r="S46" i="17"/>
  <c r="S42" i="17"/>
  <c r="S38" i="17"/>
  <c r="S34" i="17"/>
  <c r="S30" i="17"/>
  <c r="P24" i="17"/>
  <c r="P20" i="17"/>
  <c r="P16" i="17"/>
  <c r="P12" i="17"/>
  <c r="P8" i="17"/>
  <c r="P1" i="17"/>
  <c r="P45" i="17"/>
  <c r="P29" i="17"/>
  <c r="S19" i="17"/>
  <c r="S4" i="17"/>
  <c r="P41" i="17"/>
  <c r="S15" i="17"/>
  <c r="P37" i="17"/>
  <c r="S11" i="17"/>
  <c r="S23" i="17"/>
  <c r="S7" i="17"/>
  <c r="P33" i="17"/>
  <c r="K26" i="13"/>
  <c r="F28" i="13" s="1"/>
  <c r="J26" i="13"/>
  <c r="E28" i="13" s="1"/>
  <c r="H44" i="8"/>
  <c r="J24" i="8"/>
  <c r="L22" i="8"/>
  <c r="J16" i="8"/>
  <c r="T44" i="13"/>
  <c r="U59" i="13" s="1"/>
  <c r="F28" i="15"/>
  <c r="S59" i="8"/>
  <c r="F34" i="15" s="1"/>
  <c r="R34" i="8"/>
  <c r="T34" i="8"/>
  <c r="AC34" i="8" s="1"/>
  <c r="I28" i="15" s="1"/>
  <c r="AB36" i="8"/>
  <c r="H30" i="15" s="1"/>
  <c r="H76" i="15"/>
  <c r="M26" i="13"/>
  <c r="H28" i="13" s="1"/>
  <c r="R40" i="8"/>
  <c r="T40" i="8"/>
  <c r="F30" i="15"/>
  <c r="R36" i="8"/>
  <c r="T36" i="8"/>
  <c r="AC36" i="8" s="1"/>
  <c r="I30" i="15" s="1"/>
  <c r="F44" i="8"/>
  <c r="J23" i="8"/>
  <c r="J21" i="8"/>
  <c r="J19" i="8"/>
  <c r="J17" i="8"/>
  <c r="S46" i="18"/>
  <c r="S44" i="18"/>
  <c r="S42" i="18"/>
  <c r="S40" i="18"/>
  <c r="S38" i="18"/>
  <c r="S36" i="18"/>
  <c r="S34" i="18"/>
  <c r="S32" i="18"/>
  <c r="S30" i="18"/>
  <c r="S28" i="18"/>
  <c r="S25" i="18"/>
  <c r="S23" i="18"/>
  <c r="S21" i="18"/>
  <c r="S19" i="18"/>
  <c r="S17" i="18"/>
  <c r="S15" i="18"/>
  <c r="S13" i="18"/>
  <c r="S11" i="18"/>
  <c r="S9" i="18"/>
  <c r="S7" i="18"/>
  <c r="S4" i="18"/>
  <c r="S2" i="18"/>
  <c r="P47" i="18"/>
  <c r="P45" i="18"/>
  <c r="P43" i="18"/>
  <c r="P41" i="18"/>
  <c r="P39" i="18"/>
  <c r="P37" i="18"/>
  <c r="P35" i="18"/>
  <c r="P33" i="18"/>
  <c r="P31" i="18"/>
  <c r="P29" i="18"/>
  <c r="P27" i="18"/>
  <c r="P26" i="18"/>
  <c r="P24" i="18"/>
  <c r="P22" i="18"/>
  <c r="P20" i="18"/>
  <c r="P18" i="18"/>
  <c r="P16" i="18"/>
  <c r="P14" i="18"/>
  <c r="P12" i="18"/>
  <c r="P10" i="18"/>
  <c r="P8" i="18"/>
  <c r="P6" i="18"/>
  <c r="P3" i="18"/>
  <c r="P1" i="18"/>
  <c r="S47" i="18"/>
  <c r="S43" i="18"/>
  <c r="S39" i="18"/>
  <c r="S35" i="18"/>
  <c r="S31" i="18"/>
  <c r="S27" i="18"/>
  <c r="S24" i="18"/>
  <c r="S20" i="18"/>
  <c r="S16" i="18"/>
  <c r="S12" i="18"/>
  <c r="S8" i="18"/>
  <c r="P5" i="18"/>
  <c r="S1" i="18"/>
  <c r="P46" i="18"/>
  <c r="P42" i="18"/>
  <c r="P38" i="18"/>
  <c r="P34" i="18"/>
  <c r="P30" i="18"/>
  <c r="P23" i="18"/>
  <c r="P19" i="18"/>
  <c r="P15" i="18"/>
  <c r="P11" i="18"/>
  <c r="P7" i="18"/>
  <c r="P4" i="18"/>
  <c r="S45" i="18"/>
  <c r="S41" i="18"/>
  <c r="S37" i="18"/>
  <c r="S33" i="18"/>
  <c r="S29" i="18"/>
  <c r="S26" i="18"/>
  <c r="S22" i="18"/>
  <c r="S18" i="18"/>
  <c r="S14" i="18"/>
  <c r="S10" i="18"/>
  <c r="S6" i="18"/>
  <c r="S3" i="18"/>
  <c r="P32" i="18"/>
  <c r="P13" i="18"/>
  <c r="P44" i="18"/>
  <c r="P28" i="18"/>
  <c r="P25" i="18"/>
  <c r="P9" i="18"/>
  <c r="P40" i="18"/>
  <c r="P21" i="18"/>
  <c r="S5" i="18"/>
  <c r="P36" i="18"/>
  <c r="P17" i="18"/>
  <c r="P2" i="18"/>
  <c r="L26" i="13"/>
  <c r="G28" i="13" s="1"/>
  <c r="L24" i="8"/>
  <c r="J18" i="8"/>
  <c r="AC34" i="13"/>
  <c r="I35" i="15" s="1"/>
  <c r="I43" i="9"/>
  <c r="D11" i="11" s="1"/>
  <c r="F32" i="15"/>
  <c r="R38" i="8"/>
  <c r="AB38" i="8" s="1"/>
  <c r="H32" i="15" s="1"/>
  <c r="T38" i="8"/>
  <c r="AC38" i="8" s="1"/>
  <c r="I32" i="15" s="1"/>
  <c r="D76" i="15"/>
  <c r="T43" i="8"/>
  <c r="R43" i="8"/>
  <c r="F33" i="15"/>
  <c r="R39" i="8"/>
  <c r="AB39" i="8" s="1"/>
  <c r="H33" i="15" s="1"/>
  <c r="T39" i="8"/>
  <c r="F29" i="15"/>
  <c r="R35" i="8"/>
  <c r="AB35" i="8" s="1"/>
  <c r="H29" i="15" s="1"/>
  <c r="T35" i="8"/>
  <c r="AC35" i="8" s="1"/>
  <c r="I29" i="15" s="1"/>
  <c r="E14" i="15"/>
  <c r="K21" i="8"/>
  <c r="K19" i="8"/>
  <c r="K17" i="8"/>
  <c r="K24" i="8"/>
  <c r="K22" i="8"/>
  <c r="K20" i="8"/>
  <c r="K18" i="8"/>
  <c r="K16" i="8"/>
  <c r="M25" i="8"/>
  <c r="M23" i="8"/>
  <c r="M21" i="8"/>
  <c r="M19" i="8"/>
  <c r="M17" i="8"/>
  <c r="K25" i="8"/>
  <c r="K23" i="8"/>
  <c r="M24" i="8"/>
  <c r="M22" i="8"/>
  <c r="M20" i="8"/>
  <c r="M18" i="8"/>
  <c r="M16" i="8"/>
  <c r="S46" i="16"/>
  <c r="S44" i="16"/>
  <c r="S42" i="16"/>
  <c r="S40" i="16"/>
  <c r="S38" i="16"/>
  <c r="S36" i="16"/>
  <c r="S34" i="16"/>
  <c r="S32" i="16"/>
  <c r="S30" i="16"/>
  <c r="S28" i="16"/>
  <c r="P47" i="16"/>
  <c r="P45" i="16"/>
  <c r="P43" i="16"/>
  <c r="P41" i="16"/>
  <c r="P39" i="16"/>
  <c r="P37" i="16"/>
  <c r="P35" i="16"/>
  <c r="P33" i="16"/>
  <c r="P31" i="16"/>
  <c r="P29" i="16"/>
  <c r="P27" i="16"/>
  <c r="P26" i="16"/>
  <c r="P24" i="16"/>
  <c r="P22" i="16"/>
  <c r="P46" i="16"/>
  <c r="P42" i="16"/>
  <c r="P38" i="16"/>
  <c r="P34" i="16"/>
  <c r="P30" i="16"/>
  <c r="S24" i="16"/>
  <c r="S21" i="16"/>
  <c r="S19" i="16"/>
  <c r="S17" i="16"/>
  <c r="S15" i="16"/>
  <c r="S13" i="16"/>
  <c r="S11" i="16"/>
  <c r="S9" i="16"/>
  <c r="S7" i="16"/>
  <c r="S4" i="16"/>
  <c r="S2" i="16"/>
  <c r="S45" i="16"/>
  <c r="S41" i="16"/>
  <c r="S37" i="16"/>
  <c r="S33" i="16"/>
  <c r="S29" i="16"/>
  <c r="S26" i="16"/>
  <c r="S23" i="16"/>
  <c r="P21" i="16"/>
  <c r="P19" i="16"/>
  <c r="P17" i="16"/>
  <c r="P15" i="16"/>
  <c r="P13" i="16"/>
  <c r="P11" i="16"/>
  <c r="P9" i="16"/>
  <c r="P7" i="16"/>
  <c r="S5" i="16"/>
  <c r="P4" i="16"/>
  <c r="P2" i="16"/>
  <c r="P44" i="16"/>
  <c r="P40" i="16"/>
  <c r="P36" i="16"/>
  <c r="P32" i="16"/>
  <c r="P28" i="16"/>
  <c r="S25" i="16"/>
  <c r="P23" i="16"/>
  <c r="S20" i="16"/>
  <c r="S18" i="16"/>
  <c r="S16" i="16"/>
  <c r="S14" i="16"/>
  <c r="S12" i="16"/>
  <c r="S10" i="16"/>
  <c r="S8" i="16"/>
  <c r="S6" i="16"/>
  <c r="P5" i="16"/>
  <c r="S3" i="16"/>
  <c r="S1" i="16"/>
  <c r="S35" i="16"/>
  <c r="P18" i="16"/>
  <c r="P10" i="16"/>
  <c r="P3" i="16"/>
  <c r="S47" i="16"/>
  <c r="S31" i="16"/>
  <c r="P25" i="16"/>
  <c r="P16" i="16"/>
  <c r="P8" i="16"/>
  <c r="P1" i="16"/>
  <c r="S43" i="16"/>
  <c r="S27" i="16"/>
  <c r="S22" i="16"/>
  <c r="P14" i="16"/>
  <c r="P6" i="16"/>
  <c r="S39" i="16"/>
  <c r="P12" i="16"/>
  <c r="P20" i="16"/>
  <c r="R44" i="13"/>
  <c r="T59" i="13" s="1"/>
  <c r="AC39" i="8"/>
  <c r="I33" i="15" s="1"/>
  <c r="J20" i="8"/>
  <c r="L18" i="8"/>
  <c r="L26" i="8" s="1"/>
  <c r="G28" i="8" s="1"/>
  <c r="H43" i="9"/>
  <c r="D7" i="11" s="1"/>
  <c r="I59" i="13"/>
  <c r="Y34" i="13"/>
  <c r="O89" i="13"/>
  <c r="E27" i="16" l="1"/>
  <c r="H14" i="15"/>
  <c r="M89" i="8"/>
  <c r="D10" i="11"/>
  <c r="E27" i="18"/>
  <c r="D10" i="12"/>
  <c r="G21" i="15"/>
  <c r="H89" i="13"/>
  <c r="H21" i="15"/>
  <c r="M89" i="13"/>
  <c r="T44" i="8"/>
  <c r="U59" i="8" s="1"/>
  <c r="N89" i="13"/>
  <c r="I21" i="15"/>
  <c r="R44" i="8"/>
  <c r="T59" i="8" s="1"/>
  <c r="J26" i="8"/>
  <c r="E28" i="8" s="1"/>
  <c r="O89" i="8"/>
  <c r="I59" i="8"/>
  <c r="Y34" i="8"/>
  <c r="W34" i="13"/>
  <c r="I41" i="15"/>
  <c r="W34" i="8"/>
  <c r="I89" i="8"/>
  <c r="H59" i="8"/>
  <c r="G89" i="13"/>
  <c r="F21" i="15"/>
  <c r="M26" i="8"/>
  <c r="H28" i="8" s="1"/>
  <c r="K26" i="8"/>
  <c r="F28" i="8" s="1"/>
  <c r="AB34" i="8"/>
  <c r="H28" i="15" s="1"/>
  <c r="I89" i="13"/>
  <c r="I49" i="15" l="1"/>
  <c r="S45" i="15" s="1"/>
  <c r="I34" i="15"/>
  <c r="H41" i="15"/>
  <c r="F49" i="15"/>
  <c r="M45" i="15" s="1"/>
  <c r="H34" i="15"/>
  <c r="A27" i="16"/>
  <c r="D49" i="15"/>
  <c r="K45" i="15" s="1"/>
  <c r="A27" i="18"/>
  <c r="F14" i="15"/>
  <c r="D6" i="11"/>
  <c r="D6" i="12"/>
  <c r="G89" i="8"/>
  <c r="H49" i="15"/>
  <c r="Q45" i="15" s="1"/>
  <c r="G27" i="16"/>
  <c r="G27" i="18"/>
  <c r="I14" i="15"/>
  <c r="E10" i="11"/>
  <c r="E10" i="12"/>
  <c r="N89" i="8"/>
  <c r="B27" i="18"/>
  <c r="B27" i="16"/>
  <c r="E49" i="15"/>
  <c r="L45" i="15" s="1"/>
  <c r="G14" i="15"/>
  <c r="E6" i="12"/>
  <c r="H89" i="8"/>
  <c r="E6" i="11"/>
  <c r="G49" i="15"/>
  <c r="O45" i="15" s="1"/>
</calcChain>
</file>

<file path=xl/sharedStrings.xml><?xml version="1.0" encoding="utf-8"?>
<sst xmlns="http://schemas.openxmlformats.org/spreadsheetml/2006/main" count="740" uniqueCount="250">
  <si>
    <t>Časový snímek pracovní směny</t>
  </si>
  <si>
    <t>Firma:</t>
  </si>
  <si>
    <t>Profese:</t>
  </si>
  <si>
    <t>Pracoviště:</t>
  </si>
  <si>
    <t>Datum:</t>
  </si>
  <si>
    <t>Směna [min]:</t>
  </si>
  <si>
    <t>Přestávka [min]:</t>
  </si>
  <si>
    <t>Čistý čas směny [min]:</t>
  </si>
  <si>
    <t>Přístroj:</t>
  </si>
  <si>
    <t>Sledoval:</t>
  </si>
  <si>
    <t>Pracovník A</t>
  </si>
  <si>
    <t>Pracovník B</t>
  </si>
  <si>
    <t>Označení holteru</t>
  </si>
  <si>
    <t>Umístění holteru</t>
  </si>
  <si>
    <t>Typ</t>
  </si>
  <si>
    <t>Měření 2025 Kalibrace do</t>
  </si>
  <si>
    <t>Měření 2024 Kalibrace do</t>
  </si>
  <si>
    <t xml:space="preserve">Měření 2023 Datum kalibrace </t>
  </si>
  <si>
    <t>Měření 2022 Datum kalibrace</t>
  </si>
  <si>
    <t>Měření 2021 Datum provedené kalibrace</t>
  </si>
  <si>
    <t>Jméno:</t>
  </si>
  <si>
    <t>daisdijakl</t>
  </si>
  <si>
    <t>asdiasklk</t>
  </si>
  <si>
    <t>A</t>
  </si>
  <si>
    <t>Ostrava</t>
  </si>
  <si>
    <t>EMG Holter č. 60/16 + příslušenství</t>
  </si>
  <si>
    <t>Iniciály:</t>
  </si>
  <si>
    <t>B</t>
  </si>
  <si>
    <t>EMG Holter č. 65/17 + příslušenství</t>
  </si>
  <si>
    <t>Pohlaví:</t>
  </si>
  <si>
    <t>muži</t>
  </si>
  <si>
    <t>C</t>
  </si>
  <si>
    <t>HK</t>
  </si>
  <si>
    <t>EMG Holter č. 84/19  + příslušenství</t>
  </si>
  <si>
    <t>Lateralita:</t>
  </si>
  <si>
    <t>pravostranná</t>
  </si>
  <si>
    <t>D</t>
  </si>
  <si>
    <t>EMG Holter č. 85/19 + příslušenství</t>
  </si>
  <si>
    <t>Věk [roky]:</t>
  </si>
  <si>
    <t>E</t>
  </si>
  <si>
    <t>EMG Holter č. 86/20 + příslušenství</t>
  </si>
  <si>
    <t>25.03.2025*</t>
  </si>
  <si>
    <t>Expozice [roky]:</t>
  </si>
  <si>
    <t>F</t>
  </si>
  <si>
    <t>EMG Holter č. 87/20 + příslušenství</t>
  </si>
  <si>
    <t>Výška [cm]:</t>
  </si>
  <si>
    <t>*kalibrace platná  pro protokoly LSZ 78/2024 a dál</t>
  </si>
  <si>
    <t>Hmotnost [kg]:</t>
  </si>
  <si>
    <t>Síla stisku ruky [PHK]:</t>
  </si>
  <si>
    <t xml:space="preserve">Dynamometr </t>
  </si>
  <si>
    <t>Síla stisku ruky [LHK]:</t>
  </si>
  <si>
    <t>Označení holteru:</t>
  </si>
  <si>
    <t>Délka měření</t>
  </si>
  <si>
    <t>Rozpis pracovních operací</t>
  </si>
  <si>
    <t>čas/směna</t>
  </si>
  <si>
    <t xml:space="preserve">čas </t>
  </si>
  <si>
    <t>norma</t>
  </si>
  <si>
    <t>počet ks</t>
  </si>
  <si>
    <t>Poznámky</t>
  </si>
  <si>
    <t>[min]</t>
  </si>
  <si>
    <t>[ks/hod]</t>
  </si>
  <si>
    <t>za směnu</t>
  </si>
  <si>
    <t>1.</t>
  </si>
  <si>
    <t>Zakládání</t>
  </si>
  <si>
    <t>2.</t>
  </si>
  <si>
    <t>Bezpečnostní přestávka</t>
  </si>
  <si>
    <t>3.</t>
  </si>
  <si>
    <t>Přestávka na jídlo a oddech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</si>
  <si>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</si>
  <si>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</si>
  <si>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</si>
  <si>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</si>
  <si>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</si>
  <si>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</si>
  <si>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</si>
  <si>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</si>
  <si>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</si>
  <si>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</si>
  <si>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</si>
  <si>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</si>
  <si>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</si>
  <si>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</si>
  <si>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</si>
  <si>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</si>
  <si>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</si>
  <si>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Přestávka na jídlo a oddych</t>
  </si>
  <si>
    <t>Celkový součet:</t>
  </si>
  <si>
    <t>levostranná</t>
  </si>
  <si>
    <t>ženy</t>
  </si>
  <si>
    <t>Sloupec1</t>
  </si>
  <si>
    <t>pravák</t>
  </si>
  <si>
    <t>levák</t>
  </si>
  <si>
    <t>Měření</t>
  </si>
  <si>
    <t>Název / Čas</t>
  </si>
  <si>
    <t>EMG-1</t>
  </si>
  <si>
    <t>EMG-2</t>
  </si>
  <si>
    <t>EMG-3</t>
  </si>
  <si>
    <t>EMG-4</t>
  </si>
  <si>
    <t>Operace</t>
  </si>
  <si>
    <t>Směna</t>
  </si>
  <si>
    <t>11:44:27 - 13:58:05</t>
  </si>
  <si>
    <t>Pohyby - pracovník A</t>
  </si>
  <si>
    <t>ČAS</t>
  </si>
  <si>
    <t>Počet pohybů</t>
  </si>
  <si>
    <t>Čas (s)</t>
  </si>
  <si>
    <t>Průměr       (poh./min.)</t>
  </si>
  <si>
    <t>Pravá</t>
  </si>
  <si>
    <t>Levá</t>
  </si>
  <si>
    <t>Kusy</t>
  </si>
  <si>
    <t>Počet kusů</t>
  </si>
  <si>
    <t>Průměr       (poh./ks)</t>
  </si>
  <si>
    <t>Pohyby - pracovník B</t>
  </si>
  <si>
    <t>Celková doba měření</t>
  </si>
  <si>
    <t>Datum</t>
  </si>
  <si>
    <t>Jméno</t>
  </si>
  <si>
    <t>Doba měření</t>
  </si>
  <si>
    <t>Somatometrie pracovníků:</t>
  </si>
  <si>
    <t>Iniciály</t>
  </si>
  <si>
    <t>Lateralita</t>
  </si>
  <si>
    <t>Věk [roky]</t>
  </si>
  <si>
    <t>Expozice [roky]</t>
  </si>
  <si>
    <t>Výška [cm]</t>
  </si>
  <si>
    <t>Hmotnost [kg]</t>
  </si>
  <si>
    <t>průměr</t>
  </si>
  <si>
    <t>OP1</t>
  </si>
  <si>
    <t>OP2</t>
  </si>
  <si>
    <t>OP3</t>
  </si>
  <si>
    <t>OP4</t>
  </si>
  <si>
    <t>OP5</t>
  </si>
  <si>
    <t>OP6</t>
  </si>
  <si>
    <t>ČASOVĚ VÁŽENÝ PRŮMĚR SVALOVÝCH SIL (% Fmax)</t>
  </si>
  <si>
    <t>Svalová síla (% Fmax)</t>
  </si>
  <si>
    <t>Pracovní operace</t>
  </si>
  <si>
    <t>Trvání operace (min)</t>
  </si>
  <si>
    <t>Extenzory PHK</t>
  </si>
  <si>
    <t>Flexory PHK</t>
  </si>
  <si>
    <t>Extenzory LHK</t>
  </si>
  <si>
    <t>Flexory LHK</t>
  </si>
  <si>
    <t>P</t>
  </si>
  <si>
    <t>Přestávka</t>
  </si>
  <si>
    <t>Celkem:</t>
  </si>
  <si>
    <t>Průměrná svalová síla (% Fmax)</t>
  </si>
  <si>
    <t>Pohyby - čas</t>
  </si>
  <si>
    <t>Pohyby - kusy</t>
  </si>
  <si>
    <t>Pohyby celkem</t>
  </si>
  <si>
    <t>Činnost</t>
  </si>
  <si>
    <t>PHK</t>
  </si>
  <si>
    <t>LHK</t>
  </si>
  <si>
    <t>∑ počet pohybů/směnu - efektivní činnosti</t>
  </si>
  <si>
    <t>jednotka</t>
  </si>
  <si>
    <t>počet jednotek/ směnu</t>
  </si>
  <si>
    <t>počet pohybů/jednotku</t>
  </si>
  <si>
    <t>min</t>
  </si>
  <si>
    <t>ks</t>
  </si>
  <si>
    <t>∑ počet pohybů/jednotku - efektivní činnosti</t>
  </si>
  <si>
    <t>Graf</t>
  </si>
  <si>
    <t>čistý čas práce</t>
  </si>
  <si>
    <t>hod</t>
  </si>
  <si>
    <t>navýšení limitu</t>
  </si>
  <si>
    <t>%</t>
  </si>
  <si>
    <t>Fmax</t>
  </si>
  <si>
    <t>% Fmax / PHK</t>
  </si>
  <si>
    <t>Počet pohybů PHK</t>
  </si>
  <si>
    <t>% Fmax / LHK</t>
  </si>
  <si>
    <t>počet pohybů LHK</t>
  </si>
  <si>
    <t>extenzory</t>
  </si>
  <si>
    <t>flexory</t>
  </si>
  <si>
    <t xml:space="preserve">Tabulka počtu pohybů k záznamu č. 1 ze dne </t>
  </si>
  <si>
    <t xml:space="preserve">                   ke stanovení parametrů lokální svalové zátěže</t>
  </si>
  <si>
    <t>Datum hodnocení:</t>
  </si>
  <si>
    <t>Hodnocení provedeno na požedavek:</t>
  </si>
  <si>
    <t>Firmy</t>
  </si>
  <si>
    <t>Hodnocení provedl:</t>
  </si>
  <si>
    <t>Bc. Kozelská Eva</t>
  </si>
  <si>
    <t>Záznam proveden kamerou:</t>
  </si>
  <si>
    <t>Sony</t>
  </si>
  <si>
    <t>Stroj:</t>
  </si>
  <si>
    <t>Pracovní doba denní:</t>
  </si>
  <si>
    <t>Přestávky:</t>
  </si>
  <si>
    <t>Systém střídání směn:</t>
  </si>
  <si>
    <t>Norma:</t>
  </si>
  <si>
    <t>Plnění normy:</t>
  </si>
  <si>
    <t>Vyšetřovaná osoba:</t>
  </si>
  <si>
    <t>Datum narození:</t>
  </si>
  <si>
    <t>Pravák</t>
  </si>
  <si>
    <t>Počet pohybů LHK</t>
  </si>
  <si>
    <t>Sledovány pohyby za (minut)</t>
  </si>
  <si>
    <t>Trvání operace</t>
  </si>
  <si>
    <t>Celkem PHK</t>
  </si>
  <si>
    <t>Celkem LHK</t>
  </si>
  <si>
    <t>Ošetření svárů kondenzátorů</t>
  </si>
  <si>
    <t>Manipulace s  paletovým vozíkem</t>
  </si>
  <si>
    <t>Úklid</t>
  </si>
  <si>
    <t>25.</t>
  </si>
  <si>
    <t>26.</t>
  </si>
  <si>
    <t>27.</t>
  </si>
  <si>
    <t>28.</t>
  </si>
  <si>
    <t>29.</t>
  </si>
  <si>
    <t>30.</t>
  </si>
  <si>
    <t>Celkem všechny operace</t>
  </si>
  <si>
    <t>Práce:</t>
  </si>
  <si>
    <t>Svalové síly</t>
  </si>
  <si>
    <t>Pohyby</t>
  </si>
  <si>
    <t>VSTUPNÍ HODNOTY</t>
  </si>
  <si>
    <t>Extenzory</t>
  </si>
  <si>
    <t>Flexory</t>
  </si>
  <si>
    <t>% Fmax</t>
  </si>
  <si>
    <t>PŘEPOČET NA ČAS</t>
  </si>
  <si>
    <t>PŘEPOČET NA KUSY</t>
  </si>
  <si>
    <t>Výsledky měřených osob – síla = Fmax:</t>
  </si>
  <si>
    <t>Celosměnový časově vážený průměr</t>
  </si>
  <si>
    <t>PHK [= Fmax]</t>
  </si>
  <si>
    <t>LHK [= Fmax]</t>
  </si>
  <si>
    <t xml:space="preserve">1. měřená osoba </t>
  </si>
  <si>
    <t>2. měřená osoba</t>
  </si>
  <si>
    <t>Výsledky měřených osob – počet pohybů/jednotka:</t>
  </si>
  <si>
    <t>Výsledný graf</t>
  </si>
  <si>
    <t>[ks]</t>
  </si>
  <si>
    <t>[počet pohybů/jednotku]</t>
  </si>
  <si>
    <t>1. měřená osoba</t>
  </si>
  <si>
    <t>=</t>
  </si>
  <si>
    <t>Výsledky měřených osob – časově vážený průměr:</t>
  </si>
  <si>
    <t>Počet pohybů / směna - PHK</t>
  </si>
  <si>
    <t>Počet pohybů / směna - LHK</t>
  </si>
  <si>
    <t>Měřené osoby</t>
  </si>
  <si>
    <t>PHK [=] Fmax</t>
  </si>
  <si>
    <t>Počet pohybů / směna – PHK</t>
  </si>
  <si>
    <t>LHK [=] Fmax</t>
  </si>
  <si>
    <t>Počet pohybů / směna – LHK</t>
  </si>
  <si>
    <t>ø</t>
  </si>
  <si>
    <t>Hygienický limit pro celosměnový počet pohybů rukou a předloktí</t>
  </si>
  <si>
    <t>(!!!Zapsat dle aktuálního snížení/zvýšení hyg. Limitu)</t>
  </si>
  <si>
    <t>-</t>
  </si>
  <si>
    <t>Výsledky měřených osob – rozložení vynakládaných svalových sil ve směně:</t>
  </si>
  <si>
    <t>Výskyt sil 55-70 = Fmax</t>
  </si>
  <si>
    <t>Výskyt sil &gt; 70 = Fmax</t>
  </si>
  <si>
    <t>Flexory                                    PHK</t>
  </si>
  <si>
    <t>Flexory                                    LHK</t>
  </si>
  <si>
    <t>Celkem</t>
  </si>
  <si>
    <t>Časově vážený průměr</t>
  </si>
  <si>
    <t>LABORATOŘ OCHRANY A PODPORY VEŘEJNÉHO ZDRAVÍ RENTURI s.r.o.</t>
  </si>
  <si>
    <t>HAVLÍČKOVO NÁBŘEŽÍ 2728/38</t>
  </si>
  <si>
    <t>702 00 OSTRAVA – MORAVSKÁ OSTRAVA</t>
  </si>
  <si>
    <t>E-MAIL: renturi@renturi.cz</t>
  </si>
  <si>
    <t>Navýšení o 5 % za každou hodinu nad osmihodinovou směnu</t>
  </si>
  <si>
    <t>Čistý čas práce:</t>
  </si>
  <si>
    <t>Grafické znázornění:</t>
  </si>
  <si>
    <t>Navýšení hygienického limitu:</t>
  </si>
  <si>
    <t xml:space="preserve"> </t>
  </si>
  <si>
    <t>¨1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</si>
</sst>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/m/yyyy;@"/>
    <numFmt numFmtId="165" formatCode="0.0"/>
    <numFmt numFmtId="166" formatCode="0.000"/>
    <numFmt numFmtId="167" formatCode="d/\ mm/\ yyyy"/>
    <numFmt numFmtId="168" formatCode="#,##0.0"/>
    <numFmt numFmtId="169" formatCode="[$-F400]h:mm:ss\ AM/PM"/>
  </numFmts>
  <fonts count="71">
    <font>
      <sz val="10"/>
      <name val="Arial CE"/>
      <charset val="238"/>
    </font>
    <font>
      <sz val="11"/>
      <color theme="1"/>
      <name val="Calibri"/>
      <family val="2"/>
      <charset val="238"/>
      <scheme val="minor"/>
    </font>
    <font>
      <b/>
      <sz val="10"/>
      <name val="Arial CE"/>
      <charset val="238"/>
    </font>
    <font>
      <sz val="10"/>
      <name val="Arial CE"/>
      <charset val="238"/>
    </font>
    <font>
      <sz val="12"/>
      <name val="Arial"/>
      <family val="2"/>
      <charset val="238"/>
    </font>
    <font>
      <b/>
      <sz val="12"/>
      <name val="Arial CE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b/>
      <sz val="11"/>
      <name val="Arial CE"/>
      <charset val="238"/>
    </font>
    <font>
      <i/>
      <sz val="11"/>
      <name val="Arial CE"/>
      <charset val="238"/>
    </font>
    <font>
      <i/>
      <sz val="11"/>
      <color indexed="10"/>
      <name val="Arial CE"/>
      <charset val="238"/>
    </font>
    <font>
      <b/>
      <i/>
      <sz val="11"/>
      <name val="Arial CE"/>
      <charset val="238"/>
    </font>
    <font>
      <sz val="11"/>
      <name val="Arial CE"/>
      <charset val="238"/>
    </font>
    <font>
      <sz val="10"/>
      <color theme="0"/>
      <name val="Arial"/>
      <family val="2"/>
      <charset val="238"/>
    </font>
    <font>
      <b/>
      <sz val="12"/>
      <color theme="0"/>
      <name val="Times New Roman"/>
      <family val="1"/>
      <charset val="238"/>
    </font>
    <font>
      <b/>
      <sz val="11"/>
      <name val="Times New Roman"/>
      <family val="1"/>
      <charset val="238"/>
    </font>
    <font>
      <sz val="11"/>
      <name val="Times New Roman"/>
      <family val="1"/>
      <charset val="238"/>
    </font>
    <font>
      <b/>
      <sz val="11"/>
      <color theme="0"/>
      <name val="Times New Roman"/>
      <family val="1"/>
      <charset val="238"/>
    </font>
    <font>
      <b/>
      <sz val="10"/>
      <color theme="0"/>
      <name val="Arial"/>
      <family val="2"/>
      <charset val="238"/>
    </font>
    <font>
      <sz val="11"/>
      <name val="Calibri"/>
      <family val="2"/>
      <charset val="238"/>
    </font>
    <font>
      <b/>
      <i/>
      <sz val="8"/>
      <name val="Calibri"/>
      <family val="2"/>
      <charset val="238"/>
      <scheme val="minor"/>
    </font>
    <font>
      <b/>
      <sz val="10"/>
      <name val="Calibri Light"/>
      <family val="1"/>
      <charset val="238"/>
      <scheme val="major"/>
    </font>
    <font>
      <sz val="10"/>
      <name val="Arial CE"/>
      <family val="2"/>
      <charset val="238"/>
    </font>
    <font>
      <sz val="10"/>
      <color theme="0"/>
      <name val="Arial CE"/>
      <family val="2"/>
      <charset val="238"/>
    </font>
    <font>
      <sz val="10"/>
      <name val="Calibri Light"/>
      <family val="1"/>
      <charset val="238"/>
      <scheme val="major"/>
    </font>
    <font>
      <sz val="8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6"/>
      <name val="Arial CE"/>
      <family val="2"/>
      <charset val="238"/>
    </font>
    <font>
      <sz val="9"/>
      <name val="Calibri"/>
      <family val="2"/>
      <charset val="238"/>
      <scheme val="minor"/>
    </font>
    <font>
      <b/>
      <sz val="9"/>
      <name val="Calibri"/>
      <family val="2"/>
      <charset val="238"/>
      <scheme val="minor"/>
    </font>
    <font>
      <b/>
      <sz val="10"/>
      <color rgb="FFFF0000"/>
      <name val="Calibri"/>
      <family val="2"/>
      <charset val="238"/>
      <scheme val="minor"/>
    </font>
    <font>
      <b/>
      <sz val="10"/>
      <color rgb="FF00B050"/>
      <name val="Calibri"/>
      <family val="2"/>
      <charset val="238"/>
      <scheme val="minor"/>
    </font>
    <font>
      <b/>
      <sz val="10"/>
      <name val="Arial CE"/>
      <family val="2"/>
      <charset val="238"/>
    </font>
    <font>
      <b/>
      <u/>
      <sz val="10"/>
      <name val="Calibri"/>
      <family val="2"/>
      <charset val="238"/>
      <scheme val="minor"/>
    </font>
    <font>
      <b/>
      <i/>
      <sz val="12"/>
      <name val="Calibri"/>
      <family val="2"/>
      <charset val="238"/>
      <scheme val="minor"/>
    </font>
    <font>
      <i/>
      <sz val="10"/>
      <name val="Calibri"/>
      <family val="2"/>
      <charset val="238"/>
      <scheme val="minor"/>
    </font>
    <font>
      <b/>
      <i/>
      <sz val="10"/>
      <name val="Calibri"/>
      <family val="2"/>
      <charset val="238"/>
      <scheme val="minor"/>
    </font>
    <font>
      <b/>
      <u/>
      <sz val="10"/>
      <color rgb="FFFF000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trike/>
      <sz val="10"/>
      <color theme="1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  <font>
      <b/>
      <i/>
      <sz val="16"/>
      <name val="Calibri"/>
      <family val="2"/>
      <charset val="238"/>
      <scheme val="minor"/>
    </font>
    <font>
      <b/>
      <sz val="13"/>
      <color indexed="10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b/>
      <i/>
      <sz val="12"/>
      <color theme="2"/>
      <name val="Calibri"/>
      <family val="2"/>
      <charset val="238"/>
      <scheme val="minor"/>
    </font>
    <font>
      <sz val="10"/>
      <color theme="2"/>
      <name val="Calibri"/>
      <family val="2"/>
      <charset val="238"/>
      <scheme val="minor"/>
    </font>
    <font>
      <b/>
      <sz val="10"/>
      <color theme="2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7"/>
      <name val="Calibri"/>
      <family val="2"/>
      <charset val="238"/>
      <scheme val="minor"/>
    </font>
    <font>
      <sz val="10"/>
      <color indexed="9"/>
      <name val="Calibri"/>
      <family val="2"/>
      <charset val="238"/>
      <scheme val="minor"/>
    </font>
    <font>
      <b/>
      <sz val="10"/>
      <color rgb="FFFF0000"/>
      <name val="Arial CE"/>
    </font>
    <font>
      <b/>
      <sz val="10"/>
      <color rgb="FF0000FF"/>
      <name val="Arial CE"/>
    </font>
    <font>
      <b/>
      <sz val="10"/>
      <name val="Calibri"/>
      <family val="2"/>
      <charset val="238"/>
    </font>
    <font>
      <b/>
      <sz val="10"/>
      <color theme="1"/>
      <name val="Calibri"/>
      <family val="2"/>
      <charset val="238"/>
    </font>
    <font>
      <sz val="10"/>
      <color theme="1"/>
      <name val="Calibri"/>
      <family val="2"/>
      <charset val="238"/>
    </font>
    <font>
      <sz val="10"/>
      <name val="Calibri"/>
      <family val="2"/>
      <charset val="238"/>
    </font>
    <font>
      <b/>
      <sz val="11"/>
      <color rgb="FFFF0000"/>
      <name val="Calibri"/>
      <family val="2"/>
      <charset val="238"/>
      <scheme val="minor"/>
    </font>
    <font>
      <b/>
      <sz val="11"/>
      <color rgb="FF00B050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b/>
      <sz val="10"/>
      <color rgb="FF000000"/>
      <name val="Calibri"/>
      <family val="2"/>
      <charset val="238"/>
    </font>
    <font>
      <b/>
      <sz val="12"/>
      <name val="Calibri"/>
      <family val="2"/>
      <charset val="238"/>
    </font>
    <font>
      <sz val="10"/>
      <color rgb="FF000000"/>
      <name val="Calibri"/>
      <family val="2"/>
      <charset val="238"/>
    </font>
    <font>
      <b/>
      <sz val="9"/>
      <name val="Calibri"/>
      <family val="2"/>
      <charset val="238"/>
    </font>
    <font>
      <b/>
      <sz val="6"/>
      <color rgb="FFFF0000"/>
      <name val="Calibri"/>
      <family val="2"/>
      <charset val="238"/>
    </font>
    <font>
      <b/>
      <sz val="6"/>
      <color rgb="FF000000"/>
      <name val="Calibri"/>
      <family val="2"/>
      <charset val="238"/>
    </font>
    <font>
      <sz val="10"/>
      <color theme="0"/>
      <name val="Arial CE"/>
      <charset val="238"/>
    </font>
    <font>
      <b/>
      <sz val="9"/>
      <name val="Arial"/>
      <family val="2"/>
      <charset val="238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6" fillId="0" borderId="0"/>
    <xf numFmtId="0" fontId="6" fillId="0" borderId="0"/>
    <xf numFmtId="0" fontId="3" fillId="0" borderId="0"/>
    <xf numFmtId="0" fontId="1" fillId="0" borderId="0"/>
    <xf numFmtId="0" fontId="1" fillId="0" borderId="0"/>
  </cellStyleXfs>
  <cellXfs count="594">
    <xf numFmtId="0" fontId="0" fillId="0" borderId="0" xfId="0"/>
    <xf numFmtId="0" fontId="0" fillId="0" borderId="17" xfId="0" applyBorder="1" applyAlignment="1">
      <alignment horizontal="center" vertical="center"/>
    </xf>
    <xf numFmtId="0" fontId="8" fillId="0" borderId="0" xfId="0" applyFont="1"/>
    <xf numFmtId="164" fontId="8" fillId="0" borderId="0" xfId="0" applyNumberFormat="1" applyFont="1" applyAlignment="1">
      <alignment horizontal="left"/>
    </xf>
    <xf numFmtId="0" fontId="8" fillId="0" borderId="11" xfId="0" applyFont="1" applyBorder="1"/>
    <xf numFmtId="0" fontId="8" fillId="0" borderId="46" xfId="0" applyFont="1" applyBorder="1"/>
    <xf numFmtId="0" fontId="8" fillId="0" borderId="4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11" fillId="0" borderId="0" xfId="0" applyFont="1"/>
    <xf numFmtId="0" fontId="12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8" fillId="0" borderId="0" xfId="0" applyFont="1" applyAlignment="1">
      <alignment horizontal="right"/>
    </xf>
    <xf numFmtId="0" fontId="3" fillId="0" borderId="0" xfId="0" applyFont="1"/>
    <xf numFmtId="0" fontId="0" fillId="0" borderId="17" xfId="0" applyBorder="1"/>
    <xf numFmtId="0" fontId="0" fillId="0" borderId="0" xfId="0" applyAlignment="1">
      <alignment horizontal="center" vertical="center" wrapText="1"/>
    </xf>
    <xf numFmtId="165" fontId="0" fillId="0" borderId="17" xfId="0" applyNumberForma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2" fontId="0" fillId="0" borderId="17" xfId="0" applyNumberFormat="1" applyBorder="1" applyAlignment="1">
      <alignment horizontal="center" vertical="center" wrapText="1"/>
    </xf>
    <xf numFmtId="1" fontId="0" fillId="0" borderId="17" xfId="0" applyNumberForma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/>
    </xf>
    <xf numFmtId="3" fontId="5" fillId="2" borderId="17" xfId="0" applyNumberFormat="1" applyFont="1" applyFill="1" applyBorder="1" applyAlignment="1">
      <alignment horizontal="center" vertical="center"/>
    </xf>
    <xf numFmtId="0" fontId="13" fillId="0" borderId="0" xfId="2" applyFont="1"/>
    <xf numFmtId="0" fontId="6" fillId="0" borderId="0" xfId="2"/>
    <xf numFmtId="0" fontId="15" fillId="0" borderId="17" xfId="2" applyFont="1" applyBorder="1" applyAlignment="1">
      <alignment horizontal="center" vertical="center"/>
    </xf>
    <xf numFmtId="0" fontId="16" fillId="0" borderId="17" xfId="2" applyFont="1" applyBorder="1" applyAlignment="1">
      <alignment horizontal="center" vertical="center"/>
    </xf>
    <xf numFmtId="0" fontId="16" fillId="0" borderId="17" xfId="2" applyFont="1" applyBorder="1" applyAlignment="1">
      <alignment horizontal="right" vertical="center"/>
    </xf>
    <xf numFmtId="165" fontId="17" fillId="5" borderId="17" xfId="2" applyNumberFormat="1" applyFont="1" applyFill="1" applyBorder="1" applyAlignment="1">
      <alignment horizontal="center" vertical="center"/>
    </xf>
    <xf numFmtId="165" fontId="15" fillId="3" borderId="17" xfId="2" applyNumberFormat="1" applyFont="1" applyFill="1" applyBorder="1" applyAlignment="1">
      <alignment horizontal="center" vertical="center"/>
    </xf>
    <xf numFmtId="0" fontId="12" fillId="0" borderId="0" xfId="0" applyFont="1"/>
    <xf numFmtId="0" fontId="2" fillId="7" borderId="17" xfId="0" applyFont="1" applyFill="1" applyBorder="1" applyAlignment="1">
      <alignment horizontal="center" vertical="center" wrapText="1"/>
    </xf>
    <xf numFmtId="0" fontId="0" fillId="7" borderId="17" xfId="0" applyFill="1" applyBorder="1"/>
    <xf numFmtId="21" fontId="0" fillId="0" borderId="0" xfId="0" applyNumberFormat="1"/>
    <xf numFmtId="0" fontId="21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22" fillId="0" borderId="0" xfId="0" applyFont="1"/>
    <xf numFmtId="1" fontId="22" fillId="0" borderId="0" xfId="0" applyNumberFormat="1" applyFont="1"/>
    <xf numFmtId="0" fontId="3" fillId="0" borderId="0" xfId="3"/>
    <xf numFmtId="0" fontId="23" fillId="0" borderId="0" xfId="0" applyFont="1"/>
    <xf numFmtId="0" fontId="21" fillId="0" borderId="11" xfId="0" applyFont="1" applyBorder="1" applyAlignment="1">
      <alignment vertical="center" wrapText="1"/>
    </xf>
    <xf numFmtId="0" fontId="0" fillId="0" borderId="11" xfId="0" applyBorder="1"/>
    <xf numFmtId="0" fontId="20" fillId="8" borderId="37" xfId="0" applyFont="1" applyFill="1" applyBorder="1" applyAlignment="1">
      <alignment horizontal="center" vertical="center"/>
    </xf>
    <xf numFmtId="0" fontId="27" fillId="0" borderId="26" xfId="0" applyFont="1" applyBorder="1"/>
    <xf numFmtId="0" fontId="28" fillId="0" borderId="0" xfId="0" applyFont="1"/>
    <xf numFmtId="165" fontId="20" fillId="6" borderId="37" xfId="0" applyNumberFormat="1" applyFont="1" applyFill="1" applyBorder="1" applyAlignment="1">
      <alignment horizontal="center" vertical="center"/>
    </xf>
    <xf numFmtId="0" fontId="26" fillId="0" borderId="26" xfId="0" applyFont="1" applyBorder="1" applyAlignment="1">
      <alignment vertical="center"/>
    </xf>
    <xf numFmtId="0" fontId="27" fillId="0" borderId="0" xfId="0" applyFont="1"/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/>
    </xf>
    <xf numFmtId="0" fontId="26" fillId="0" borderId="0" xfId="0" applyFont="1" applyAlignment="1">
      <alignment horizontal="left"/>
    </xf>
    <xf numFmtId="2" fontId="27" fillId="0" borderId="0" xfId="0" applyNumberFormat="1" applyFont="1" applyAlignment="1">
      <alignment horizontal="center"/>
    </xf>
    <xf numFmtId="1" fontId="26" fillId="0" borderId="0" xfId="0" applyNumberFormat="1" applyFont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27" fillId="0" borderId="17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31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35" fillId="0" borderId="0" xfId="0" applyFont="1"/>
    <xf numFmtId="0" fontId="0" fillId="0" borderId="0" xfId="0" applyAlignment="1">
      <alignment vertical="top" wrapText="1"/>
    </xf>
    <xf numFmtId="0" fontId="0" fillId="0" borderId="0" xfId="0" applyAlignment="1">
      <alignment horizontal="left" vertical="top"/>
    </xf>
    <xf numFmtId="0" fontId="27" fillId="0" borderId="0" xfId="0" applyFont="1" applyAlignment="1">
      <alignment vertical="center" wrapText="1"/>
    </xf>
    <xf numFmtId="1" fontId="0" fillId="0" borderId="0" xfId="0" applyNumberFormat="1"/>
    <xf numFmtId="0" fontId="0" fillId="0" borderId="0" xfId="0" applyAlignment="1">
      <alignment vertical="top"/>
    </xf>
    <xf numFmtId="0" fontId="26" fillId="0" borderId="0" xfId="0" applyFont="1" applyAlignment="1">
      <alignment vertical="center"/>
    </xf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 wrapText="1"/>
    </xf>
    <xf numFmtId="0" fontId="26" fillId="0" borderId="0" xfId="0" applyFont="1"/>
    <xf numFmtId="0" fontId="30" fillId="0" borderId="0" xfId="0" applyFont="1"/>
    <xf numFmtId="0" fontId="31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vertical="top"/>
    </xf>
    <xf numFmtId="49" fontId="30" fillId="0" borderId="0" xfId="0" applyNumberFormat="1" applyFont="1" applyAlignment="1">
      <alignment horizontal="center" vertical="top"/>
    </xf>
    <xf numFmtId="165" fontId="32" fillId="0" borderId="17" xfId="0" applyNumberFormat="1" applyFont="1" applyBorder="1" applyAlignment="1">
      <alignment horizontal="center" vertical="center" wrapText="1"/>
    </xf>
    <xf numFmtId="165" fontId="33" fillId="0" borderId="17" xfId="0" applyNumberFormat="1" applyFont="1" applyBorder="1" applyAlignment="1">
      <alignment horizontal="center" vertical="center" wrapText="1"/>
    </xf>
    <xf numFmtId="14" fontId="8" fillId="0" borderId="0" xfId="0" applyNumberFormat="1" applyFont="1" applyAlignment="1">
      <alignment horizontal="left"/>
    </xf>
    <xf numFmtId="1" fontId="0" fillId="8" borderId="17" xfId="0" applyNumberFormat="1" applyFill="1" applyBorder="1" applyAlignment="1">
      <alignment horizontal="center" vertical="center" wrapText="1"/>
    </xf>
    <xf numFmtId="2" fontId="0" fillId="0" borderId="17" xfId="0" applyNumberFormat="1" applyBorder="1"/>
    <xf numFmtId="2" fontId="19" fillId="0" borderId="17" xfId="0" applyNumberFormat="1" applyFont="1" applyBorder="1" applyAlignment="1">
      <alignment vertical="center" wrapText="1"/>
    </xf>
    <xf numFmtId="0" fontId="27" fillId="0" borderId="35" xfId="0" applyFont="1" applyBorder="1" applyAlignment="1">
      <alignment horizontal="center" vertical="center"/>
    </xf>
    <xf numFmtId="1" fontId="27" fillId="0" borderId="40" xfId="0" applyNumberFormat="1" applyFont="1" applyBorder="1" applyAlignment="1">
      <alignment horizontal="center" vertical="center"/>
    </xf>
    <xf numFmtId="165" fontId="27" fillId="0" borderId="35" xfId="0" applyNumberFormat="1" applyFont="1" applyBorder="1" applyAlignment="1">
      <alignment horizontal="center" vertical="center"/>
    </xf>
    <xf numFmtId="0" fontId="27" fillId="0" borderId="57" xfId="0" applyFont="1" applyBorder="1" applyAlignment="1">
      <alignment horizontal="center" vertical="center"/>
    </xf>
    <xf numFmtId="1" fontId="27" fillId="0" borderId="0" xfId="0" applyNumberFormat="1" applyFont="1" applyAlignment="1">
      <alignment horizontal="center" vertical="center"/>
    </xf>
    <xf numFmtId="165" fontId="27" fillId="0" borderId="58" xfId="0" applyNumberFormat="1" applyFont="1" applyBorder="1" applyAlignment="1">
      <alignment horizontal="center" vertical="center"/>
    </xf>
    <xf numFmtId="0" fontId="26" fillId="0" borderId="13" xfId="0" applyFont="1" applyBorder="1" applyAlignment="1">
      <alignment horizontal="center"/>
    </xf>
    <xf numFmtId="1" fontId="26" fillId="0" borderId="15" xfId="0" applyNumberFormat="1" applyFont="1" applyBorder="1" applyAlignment="1">
      <alignment horizontal="center"/>
    </xf>
    <xf numFmtId="165" fontId="26" fillId="0" borderId="43" xfId="0" applyNumberFormat="1" applyFont="1" applyBorder="1" applyAlignment="1">
      <alignment horizontal="center"/>
    </xf>
    <xf numFmtId="1" fontId="26" fillId="0" borderId="43" xfId="0" applyNumberFormat="1" applyFont="1" applyBorder="1" applyAlignment="1">
      <alignment horizontal="center"/>
    </xf>
    <xf numFmtId="0" fontId="30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0" fillId="0" borderId="0" xfId="0" applyProtection="1">
      <protection locked="0"/>
    </xf>
    <xf numFmtId="0" fontId="27" fillId="0" borderId="0" xfId="0" applyFont="1" applyProtection="1">
      <protection locked="0"/>
    </xf>
    <xf numFmtId="0" fontId="30" fillId="0" borderId="0" xfId="0" applyFont="1" applyAlignment="1" applyProtection="1">
      <alignment horizontal="center"/>
      <protection locked="0"/>
    </xf>
    <xf numFmtId="2" fontId="27" fillId="0" borderId="0" xfId="0" applyNumberFormat="1" applyFont="1" applyAlignment="1" applyProtection="1">
      <alignment horizontal="center"/>
      <protection locked="0"/>
    </xf>
    <xf numFmtId="0" fontId="27" fillId="0" borderId="25" xfId="0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0" xfId="0" applyFont="1" applyAlignment="1">
      <alignment horizontal="center"/>
    </xf>
    <xf numFmtId="2" fontId="27" fillId="0" borderId="0" xfId="0" applyNumberFormat="1" applyFont="1" applyAlignment="1">
      <alignment horizontal="right"/>
    </xf>
    <xf numFmtId="165" fontId="27" fillId="0" borderId="0" xfId="0" applyNumberFormat="1" applyFont="1" applyAlignment="1">
      <alignment horizontal="right"/>
    </xf>
    <xf numFmtId="165" fontId="27" fillId="0" borderId="0" xfId="0" applyNumberFormat="1" applyFont="1" applyAlignment="1">
      <alignment horizontal="left"/>
    </xf>
    <xf numFmtId="0" fontId="27" fillId="0" borderId="0" xfId="0" applyFont="1" applyAlignment="1">
      <alignment horizontal="right"/>
    </xf>
    <xf numFmtId="166" fontId="27" fillId="0" borderId="0" xfId="0" applyNumberFormat="1" applyFont="1" applyAlignment="1">
      <alignment horizontal="right"/>
    </xf>
    <xf numFmtId="0" fontId="37" fillId="0" borderId="0" xfId="0" applyFont="1" applyAlignment="1">
      <alignment horizontal="right"/>
    </xf>
    <xf numFmtId="0" fontId="26" fillId="0" borderId="0" xfId="0" applyFont="1" applyAlignment="1" applyProtection="1">
      <alignment horizontal="left"/>
      <protection locked="0"/>
    </xf>
    <xf numFmtId="14" fontId="26" fillId="0" borderId="0" xfId="0" applyNumberFormat="1" applyFont="1" applyAlignment="1" applyProtection="1">
      <alignment horizontal="left"/>
      <protection locked="0"/>
    </xf>
    <xf numFmtId="14" fontId="26" fillId="0" borderId="0" xfId="0" applyNumberFormat="1" applyFont="1"/>
    <xf numFmtId="0" fontId="27" fillId="0" borderId="0" xfId="0" applyFont="1" applyAlignment="1">
      <alignment horizontal="centerContinuous"/>
    </xf>
    <xf numFmtId="2" fontId="27" fillId="0" borderId="0" xfId="0" applyNumberFormat="1" applyFont="1" applyAlignment="1">
      <alignment horizontal="centerContinuous"/>
    </xf>
    <xf numFmtId="2" fontId="37" fillId="0" borderId="0" xfId="0" applyNumberFormat="1" applyFont="1" applyAlignment="1">
      <alignment horizontal="right"/>
    </xf>
    <xf numFmtId="1" fontId="38" fillId="0" borderId="0" xfId="0" applyNumberFormat="1" applyFont="1" applyAlignment="1">
      <alignment horizontal="left"/>
    </xf>
    <xf numFmtId="0" fontId="27" fillId="0" borderId="52" xfId="0" applyFont="1" applyBorder="1"/>
    <xf numFmtId="0" fontId="37" fillId="0" borderId="52" xfId="0" applyFont="1" applyBorder="1" applyAlignment="1">
      <alignment horizontal="right"/>
    </xf>
    <xf numFmtId="0" fontId="26" fillId="0" borderId="52" xfId="0" applyFont="1" applyBorder="1" applyAlignment="1">
      <alignment horizontal="center"/>
    </xf>
    <xf numFmtId="0" fontId="27" fillId="0" borderId="52" xfId="0" applyFont="1" applyBorder="1" applyAlignment="1">
      <alignment horizontal="center"/>
    </xf>
    <xf numFmtId="2" fontId="27" fillId="0" borderId="52" xfId="0" applyNumberFormat="1" applyFont="1" applyBorder="1" applyAlignment="1">
      <alignment horizontal="right"/>
    </xf>
    <xf numFmtId="2" fontId="27" fillId="0" borderId="52" xfId="0" applyNumberFormat="1" applyFont="1" applyBorder="1" applyAlignment="1">
      <alignment horizontal="center"/>
    </xf>
    <xf numFmtId="165" fontId="27" fillId="0" borderId="52" xfId="0" applyNumberFormat="1" applyFont="1" applyBorder="1" applyAlignment="1">
      <alignment horizontal="right"/>
    </xf>
    <xf numFmtId="165" fontId="27" fillId="0" borderId="52" xfId="0" applyNumberFormat="1" applyFont="1" applyBorder="1" applyAlignment="1">
      <alignment horizontal="left"/>
    </xf>
    <xf numFmtId="0" fontId="27" fillId="0" borderId="52" xfId="0" applyFont="1" applyBorder="1" applyAlignment="1">
      <alignment horizontal="right"/>
    </xf>
    <xf numFmtId="166" fontId="27" fillId="0" borderId="52" xfId="0" applyNumberFormat="1" applyFont="1" applyBorder="1" applyAlignment="1">
      <alignment horizontal="right"/>
    </xf>
    <xf numFmtId="0" fontId="26" fillId="0" borderId="0" xfId="0" applyFont="1" applyAlignment="1">
      <alignment horizontal="center"/>
    </xf>
    <xf numFmtId="0" fontId="37" fillId="0" borderId="0" xfId="0" applyFont="1"/>
    <xf numFmtId="165" fontId="27" fillId="0" borderId="7" xfId="0" applyNumberFormat="1" applyFont="1" applyBorder="1" applyAlignment="1">
      <alignment horizontal="center"/>
    </xf>
    <xf numFmtId="2" fontId="38" fillId="9" borderId="50" xfId="0" applyNumberFormat="1" applyFont="1" applyFill="1" applyBorder="1" applyAlignment="1">
      <alignment horizontal="center"/>
    </xf>
    <xf numFmtId="0" fontId="38" fillId="9" borderId="4" xfId="0" applyFont="1" applyFill="1" applyBorder="1" applyAlignment="1">
      <alignment horizontal="center"/>
    </xf>
    <xf numFmtId="2" fontId="38" fillId="9" borderId="3" xfId="0" applyNumberFormat="1" applyFont="1" applyFill="1" applyBorder="1" applyAlignment="1">
      <alignment horizontal="centerContinuous"/>
    </xf>
    <xf numFmtId="2" fontId="38" fillId="9" borderId="3" xfId="0" applyNumberFormat="1" applyFont="1" applyFill="1" applyBorder="1" applyAlignment="1">
      <alignment horizontal="center"/>
    </xf>
    <xf numFmtId="2" fontId="37" fillId="9" borderId="51" xfId="0" applyNumberFormat="1" applyFont="1" applyFill="1" applyBorder="1" applyAlignment="1">
      <alignment horizontal="center"/>
    </xf>
    <xf numFmtId="0" fontId="37" fillId="9" borderId="8" xfId="0" applyFont="1" applyFill="1" applyBorder="1" applyAlignment="1">
      <alignment horizontal="center"/>
    </xf>
    <xf numFmtId="2" fontId="37" fillId="9" borderId="7" xfId="0" applyNumberFormat="1" applyFont="1" applyFill="1" applyBorder="1" applyAlignment="1">
      <alignment horizontal="centerContinuous"/>
    </xf>
    <xf numFmtId="2" fontId="37" fillId="9" borderId="7" xfId="0" applyNumberFormat="1" applyFont="1" applyFill="1" applyBorder="1" applyAlignment="1">
      <alignment horizontal="center"/>
    </xf>
    <xf numFmtId="0" fontId="38" fillId="0" borderId="9" xfId="0" applyFont="1" applyBorder="1" applyAlignment="1">
      <alignment horizontal="right"/>
    </xf>
    <xf numFmtId="1" fontId="27" fillId="0" borderId="21" xfId="0" applyNumberFormat="1" applyFont="1" applyBorder="1" applyAlignment="1" applyProtection="1">
      <alignment horizontal="center"/>
      <protection locked="0"/>
    </xf>
    <xf numFmtId="0" fontId="27" fillId="0" borderId="12" xfId="0" applyFont="1" applyBorder="1" applyAlignment="1" applyProtection="1">
      <alignment horizontal="center"/>
      <protection locked="0"/>
    </xf>
    <xf numFmtId="2" fontId="27" fillId="0" borderId="11" xfId="0" applyNumberFormat="1" applyFont="1" applyBorder="1" applyAlignment="1" applyProtection="1">
      <alignment horizontal="right"/>
      <protection locked="0"/>
    </xf>
    <xf numFmtId="1" fontId="27" fillId="0" borderId="11" xfId="0" applyNumberFormat="1" applyFont="1" applyBorder="1" applyAlignment="1" applyProtection="1">
      <alignment horizontal="center"/>
      <protection locked="0"/>
    </xf>
    <xf numFmtId="1" fontId="38" fillId="0" borderId="49" xfId="0" applyNumberFormat="1" applyFont="1" applyBorder="1" applyAlignment="1">
      <alignment horizontal="center"/>
    </xf>
    <xf numFmtId="0" fontId="38" fillId="0" borderId="16" xfId="0" applyFont="1" applyBorder="1" applyAlignment="1">
      <alignment horizontal="center"/>
    </xf>
    <xf numFmtId="2" fontId="38" fillId="0" borderId="15" xfId="0" applyNumberFormat="1" applyFont="1" applyBorder="1" applyAlignment="1">
      <alignment horizontal="right"/>
    </xf>
    <xf numFmtId="2" fontId="38" fillId="0" borderId="16" xfId="0" applyNumberFormat="1" applyFont="1" applyBorder="1" applyAlignment="1">
      <alignment horizontal="center"/>
    </xf>
    <xf numFmtId="49" fontId="27" fillId="0" borderId="0" xfId="0" applyNumberFormat="1" applyFont="1"/>
    <xf numFmtId="0" fontId="41" fillId="9" borderId="0" xfId="4" applyFont="1" applyFill="1"/>
    <xf numFmtId="0" fontId="41" fillId="0" borderId="0" xfId="4" applyFont="1"/>
    <xf numFmtId="165" fontId="41" fillId="0" borderId="1" xfId="4" applyNumberFormat="1" applyFont="1" applyBorder="1"/>
    <xf numFmtId="165" fontId="41" fillId="0" borderId="3" xfId="4" applyNumberFormat="1" applyFont="1" applyBorder="1"/>
    <xf numFmtId="165" fontId="41" fillId="0" borderId="2" xfId="4" applyNumberFormat="1" applyFont="1" applyBorder="1"/>
    <xf numFmtId="165" fontId="41" fillId="0" borderId="48" xfId="4" applyNumberFormat="1" applyFont="1" applyBorder="1"/>
    <xf numFmtId="165" fontId="41" fillId="0" borderId="0" xfId="4" applyNumberFormat="1" applyFont="1"/>
    <xf numFmtId="165" fontId="41" fillId="0" borderId="55" xfId="4" applyNumberFormat="1" applyFont="1" applyBorder="1"/>
    <xf numFmtId="0" fontId="41" fillId="0" borderId="0" xfId="4" applyFont="1" applyAlignment="1">
      <alignment horizontal="left"/>
    </xf>
    <xf numFmtId="165" fontId="41" fillId="0" borderId="5" xfId="4" applyNumberFormat="1" applyFont="1" applyBorder="1"/>
    <xf numFmtId="165" fontId="41" fillId="0" borderId="7" xfId="4" applyNumberFormat="1" applyFont="1" applyBorder="1"/>
    <xf numFmtId="165" fontId="41" fillId="0" borderId="6" xfId="4" applyNumberFormat="1" applyFont="1" applyBorder="1"/>
    <xf numFmtId="0" fontId="42" fillId="10" borderId="0" xfId="4" applyFont="1" applyFill="1"/>
    <xf numFmtId="0" fontId="42" fillId="10" borderId="0" xfId="4" applyFont="1" applyFill="1" applyProtection="1">
      <protection locked="0"/>
    </xf>
    <xf numFmtId="0" fontId="41" fillId="0" borderId="0" xfId="4" applyFont="1" applyProtection="1">
      <protection locked="0"/>
    </xf>
    <xf numFmtId="165" fontId="41" fillId="0" borderId="0" xfId="4" applyNumberFormat="1" applyFont="1" applyProtection="1">
      <protection locked="0"/>
    </xf>
    <xf numFmtId="0" fontId="38" fillId="0" borderId="0" xfId="0" applyFont="1" applyAlignment="1">
      <alignment horizontal="right"/>
    </xf>
    <xf numFmtId="0" fontId="27" fillId="0" borderId="34" xfId="0" applyFont="1" applyBorder="1"/>
    <xf numFmtId="0" fontId="26" fillId="0" borderId="35" xfId="0" applyFont="1" applyBorder="1" applyAlignment="1">
      <alignment horizontal="center" vertical="center" wrapText="1"/>
    </xf>
    <xf numFmtId="0" fontId="26" fillId="0" borderId="47" xfId="0" applyFont="1" applyBorder="1" applyAlignment="1" applyProtection="1">
      <alignment horizontal="center" vertical="center" wrapText="1"/>
      <protection locked="0"/>
    </xf>
    <xf numFmtId="0" fontId="47" fillId="0" borderId="0" xfId="0" applyFont="1" applyAlignment="1">
      <alignment horizontal="center" vertical="center"/>
    </xf>
    <xf numFmtId="0" fontId="47" fillId="0" borderId="0" xfId="0" applyFont="1" applyAlignment="1" applyProtection="1">
      <alignment horizontal="center" vertical="center"/>
      <protection locked="0"/>
    </xf>
    <xf numFmtId="0" fontId="48" fillId="0" borderId="0" xfId="0" applyFont="1"/>
    <xf numFmtId="0" fontId="27" fillId="0" borderId="29" xfId="0" applyFont="1" applyBorder="1"/>
    <xf numFmtId="0" fontId="26" fillId="0" borderId="17" xfId="0" applyFont="1" applyBorder="1" applyAlignment="1">
      <alignment horizontal="center" vertical="center" wrapText="1"/>
    </xf>
    <xf numFmtId="0" fontId="26" fillId="0" borderId="19" xfId="0" applyFont="1" applyBorder="1" applyAlignment="1" applyProtection="1">
      <alignment horizontal="center" vertical="center" wrapText="1"/>
      <protection locked="0"/>
    </xf>
    <xf numFmtId="0" fontId="26" fillId="7" borderId="26" xfId="0" applyFont="1" applyFill="1" applyBorder="1" applyAlignment="1">
      <alignment horizontal="center" vertical="center" wrapText="1"/>
    </xf>
    <xf numFmtId="0" fontId="26" fillId="7" borderId="17" xfId="0" applyFont="1" applyFill="1" applyBorder="1" applyAlignment="1">
      <alignment horizontal="center" vertical="center" wrapText="1"/>
    </xf>
    <xf numFmtId="0" fontId="26" fillId="7" borderId="19" xfId="0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0" fontId="49" fillId="0" borderId="0" xfId="0" applyFont="1" applyAlignment="1" applyProtection="1">
      <alignment horizontal="center" vertical="center" wrapText="1"/>
      <protection locked="0"/>
    </xf>
    <xf numFmtId="1" fontId="27" fillId="0" borderId="19" xfId="0" applyNumberFormat="1" applyFont="1" applyBorder="1" applyAlignment="1" applyProtection="1">
      <alignment horizontal="center" vertical="center" wrapText="1"/>
      <protection locked="0"/>
    </xf>
    <xf numFmtId="165" fontId="27" fillId="0" borderId="26" xfId="0" applyNumberFormat="1" applyFont="1" applyBorder="1" applyAlignment="1" applyProtection="1">
      <alignment horizontal="center" vertical="center"/>
      <protection locked="0"/>
    </xf>
    <xf numFmtId="165" fontId="27" fillId="0" borderId="17" xfId="0" applyNumberFormat="1" applyFont="1" applyBorder="1" applyAlignment="1" applyProtection="1">
      <alignment horizontal="center" vertical="center"/>
      <protection locked="0"/>
    </xf>
    <xf numFmtId="165" fontId="27" fillId="0" borderId="19" xfId="0" applyNumberFormat="1" applyFont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left"/>
    </xf>
    <xf numFmtId="0" fontId="48" fillId="0" borderId="0" xfId="0" applyFont="1" applyAlignment="1" applyProtection="1">
      <alignment horizontal="left"/>
      <protection locked="0"/>
    </xf>
    <xf numFmtId="165" fontId="27" fillId="0" borderId="1" xfId="0" applyNumberFormat="1" applyFont="1" applyBorder="1" applyAlignment="1">
      <alignment horizontal="center"/>
    </xf>
    <xf numFmtId="165" fontId="27" fillId="0" borderId="3" xfId="0" applyNumberFormat="1" applyFont="1" applyBorder="1" applyAlignment="1">
      <alignment horizontal="center"/>
    </xf>
    <xf numFmtId="165" fontId="27" fillId="0" borderId="2" xfId="0" applyNumberFormat="1" applyFont="1" applyBorder="1" applyAlignment="1">
      <alignment horizontal="center"/>
    </xf>
    <xf numFmtId="165" fontId="27" fillId="0" borderId="48" xfId="0" applyNumberFormat="1" applyFont="1" applyBorder="1" applyAlignment="1">
      <alignment horizontal="center"/>
    </xf>
    <xf numFmtId="165" fontId="27" fillId="0" borderId="0" xfId="0" applyNumberFormat="1" applyFont="1" applyAlignment="1">
      <alignment horizontal="center"/>
    </xf>
    <xf numFmtId="165" fontId="27" fillId="0" borderId="55" xfId="0" applyNumberFormat="1" applyFont="1" applyBorder="1" applyAlignment="1">
      <alignment horizontal="center"/>
    </xf>
    <xf numFmtId="0" fontId="27" fillId="0" borderId="17" xfId="0" applyFont="1" applyBorder="1" applyAlignment="1">
      <alignment horizontal="left"/>
    </xf>
    <xf numFmtId="165" fontId="27" fillId="0" borderId="12" xfId="0" applyNumberFormat="1" applyFont="1" applyBorder="1" applyAlignment="1" applyProtection="1">
      <alignment horizontal="center" vertical="center" wrapText="1"/>
      <protection locked="0"/>
    </xf>
    <xf numFmtId="165" fontId="27" fillId="0" borderId="21" xfId="0" applyNumberFormat="1" applyFont="1" applyBorder="1" applyAlignment="1" applyProtection="1">
      <alignment horizontal="center" vertical="center" wrapText="1"/>
      <protection locked="0"/>
    </xf>
    <xf numFmtId="165" fontId="27" fillId="0" borderId="22" xfId="0" applyNumberFormat="1" applyFont="1" applyBorder="1" applyAlignment="1" applyProtection="1">
      <alignment horizontal="center" vertical="center" wrapText="1"/>
      <protection locked="0"/>
    </xf>
    <xf numFmtId="1" fontId="27" fillId="0" borderId="19" xfId="0" applyNumberFormat="1" applyFont="1" applyBorder="1" applyAlignment="1">
      <alignment horizontal="center" vertical="center" wrapText="1"/>
    </xf>
    <xf numFmtId="165" fontId="27" fillId="0" borderId="26" xfId="0" applyNumberFormat="1" applyFont="1" applyBorder="1" applyAlignment="1" applyProtection="1">
      <alignment horizontal="center" vertical="center" wrapText="1"/>
      <protection locked="0"/>
    </xf>
    <xf numFmtId="165" fontId="27" fillId="0" borderId="17" xfId="0" applyNumberFormat="1" applyFont="1" applyBorder="1" applyAlignment="1" applyProtection="1">
      <alignment horizontal="center" vertical="center" wrapText="1"/>
      <protection locked="0"/>
    </xf>
    <xf numFmtId="165" fontId="27" fillId="0" borderId="19" xfId="0" applyNumberFormat="1" applyFont="1" applyBorder="1" applyAlignment="1" applyProtection="1">
      <alignment horizontal="center" vertical="center" wrapText="1"/>
      <protection locked="0"/>
    </xf>
    <xf numFmtId="165" fontId="27" fillId="0" borderId="5" xfId="0" applyNumberFormat="1" applyFont="1" applyBorder="1" applyAlignment="1">
      <alignment horizontal="center"/>
    </xf>
    <xf numFmtId="165" fontId="27" fillId="0" borderId="6" xfId="0" applyNumberFormat="1" applyFont="1" applyBorder="1" applyAlignment="1">
      <alignment horizontal="center"/>
    </xf>
    <xf numFmtId="0" fontId="49" fillId="0" borderId="0" xfId="0" applyFont="1" applyAlignment="1">
      <alignment horizontal="center"/>
    </xf>
    <xf numFmtId="0" fontId="26" fillId="0" borderId="30" xfId="0" applyFont="1" applyBorder="1"/>
    <xf numFmtId="1" fontId="26" fillId="0" borderId="19" xfId="0" applyNumberFormat="1" applyFont="1" applyBorder="1" applyAlignment="1">
      <alignment horizontal="center" vertical="center" wrapText="1"/>
    </xf>
    <xf numFmtId="0" fontId="27" fillId="0" borderId="31" xfId="0" applyFont="1" applyBorder="1"/>
    <xf numFmtId="0" fontId="27" fillId="0" borderId="0" xfId="1" applyFont="1"/>
    <xf numFmtId="0" fontId="27" fillId="0" borderId="0" xfId="1" applyFont="1" applyAlignment="1">
      <alignment horizontal="left" vertical="center"/>
    </xf>
    <xf numFmtId="165" fontId="27" fillId="0" borderId="0" xfId="1" applyNumberFormat="1" applyFont="1"/>
    <xf numFmtId="0" fontId="26" fillId="7" borderId="42" xfId="1" applyFont="1" applyFill="1" applyBorder="1" applyAlignment="1">
      <alignment horizontal="center" vertical="center" wrapText="1"/>
    </xf>
    <xf numFmtId="0" fontId="26" fillId="7" borderId="38" xfId="1" applyFont="1" applyFill="1" applyBorder="1" applyAlignment="1">
      <alignment horizontal="center" vertical="center" wrapText="1"/>
    </xf>
    <xf numFmtId="165" fontId="26" fillId="7" borderId="42" xfId="1" applyNumberFormat="1" applyFont="1" applyFill="1" applyBorder="1" applyAlignment="1">
      <alignment horizontal="center" vertical="center" wrapText="1"/>
    </xf>
    <xf numFmtId="0" fontId="51" fillId="0" borderId="0" xfId="1" applyFont="1" applyAlignment="1">
      <alignment horizontal="right" vertical="center"/>
    </xf>
    <xf numFmtId="0" fontId="27" fillId="0" borderId="44" xfId="1" applyFont="1" applyBorder="1" applyAlignment="1">
      <alignment horizontal="center"/>
    </xf>
    <xf numFmtId="0" fontId="27" fillId="0" borderId="12" xfId="1" applyFont="1" applyBorder="1" applyAlignment="1" applyProtection="1">
      <alignment horizontal="center" vertical="center"/>
      <protection locked="0"/>
    </xf>
    <xf numFmtId="0" fontId="27" fillId="0" borderId="21" xfId="1" applyFont="1" applyBorder="1" applyAlignment="1" applyProtection="1">
      <alignment horizontal="center" vertical="center"/>
      <protection locked="0"/>
    </xf>
    <xf numFmtId="1" fontId="50" fillId="0" borderId="44" xfId="1" applyNumberFormat="1" applyFont="1" applyBorder="1" applyAlignment="1">
      <alignment horizontal="center" vertical="center"/>
    </xf>
    <xf numFmtId="0" fontId="27" fillId="0" borderId="0" xfId="1" applyFont="1" applyAlignment="1">
      <alignment horizontal="center" vertical="center"/>
    </xf>
    <xf numFmtId="0" fontId="27" fillId="0" borderId="45" xfId="1" applyFont="1" applyBorder="1" applyAlignment="1" applyProtection="1">
      <alignment horizontal="center" vertical="center"/>
      <protection locked="0"/>
    </xf>
    <xf numFmtId="0" fontId="27" fillId="0" borderId="18" xfId="1" applyFont="1" applyBorder="1" applyAlignment="1" applyProtection="1">
      <alignment horizontal="center" vertical="center"/>
      <protection locked="0"/>
    </xf>
    <xf numFmtId="0" fontId="27" fillId="0" borderId="38" xfId="1" applyFont="1" applyBorder="1" applyAlignment="1">
      <alignment horizontal="center"/>
    </xf>
    <xf numFmtId="0" fontId="27" fillId="0" borderId="25" xfId="1" applyFont="1" applyBorder="1" applyAlignment="1" applyProtection="1">
      <alignment horizontal="center" vertical="center"/>
      <protection locked="0"/>
    </xf>
    <xf numFmtId="0" fontId="27" fillId="0" borderId="35" xfId="1" applyFont="1" applyBorder="1" applyAlignment="1" applyProtection="1">
      <alignment horizontal="center" vertical="center"/>
      <protection locked="0"/>
    </xf>
    <xf numFmtId="1" fontId="50" fillId="0" borderId="38" xfId="1" applyNumberFormat="1" applyFont="1" applyBorder="1" applyAlignment="1">
      <alignment horizontal="center" vertical="center"/>
    </xf>
    <xf numFmtId="0" fontId="27" fillId="0" borderId="24" xfId="1" applyFont="1" applyBorder="1" applyAlignment="1">
      <alignment horizontal="center"/>
    </xf>
    <xf numFmtId="0" fontId="27" fillId="0" borderId="27" xfId="1" applyFont="1" applyBorder="1" applyAlignment="1" applyProtection="1">
      <alignment horizontal="center" vertical="center"/>
      <protection locked="0"/>
    </xf>
    <xf numFmtId="0" fontId="27" fillId="0" borderId="32" xfId="1" applyFont="1" applyBorder="1" applyAlignment="1" applyProtection="1">
      <alignment horizontal="center" vertical="center"/>
      <protection locked="0"/>
    </xf>
    <xf numFmtId="1" fontId="50" fillId="0" borderId="24" xfId="1" applyNumberFormat="1" applyFont="1" applyBorder="1" applyAlignment="1">
      <alignment horizontal="center" vertical="center"/>
    </xf>
    <xf numFmtId="0" fontId="26" fillId="0" borderId="41" xfId="0" applyFont="1" applyBorder="1" applyAlignment="1">
      <alignment horizontal="center"/>
    </xf>
    <xf numFmtId="0" fontId="26" fillId="0" borderId="60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3" fontId="27" fillId="0" borderId="61" xfId="0" applyNumberFormat="1" applyFont="1" applyBorder="1" applyAlignment="1">
      <alignment horizontal="center"/>
    </xf>
    <xf numFmtId="3" fontId="27" fillId="0" borderId="56" xfId="0" applyNumberFormat="1" applyFont="1" applyBorder="1" applyAlignment="1">
      <alignment horizontal="center"/>
    </xf>
    <xf numFmtId="0" fontId="27" fillId="9" borderId="43" xfId="0" applyFont="1" applyFill="1" applyBorder="1" applyAlignment="1">
      <alignment horizontal="center"/>
    </xf>
    <xf numFmtId="3" fontId="27" fillId="9" borderId="43" xfId="0" applyNumberFormat="1" applyFont="1" applyFill="1" applyBorder="1" applyAlignment="1">
      <alignment horizontal="center"/>
    </xf>
    <xf numFmtId="3" fontId="27" fillId="9" borderId="59" xfId="0" applyNumberFormat="1" applyFont="1" applyFill="1" applyBorder="1" applyAlignment="1">
      <alignment horizontal="center"/>
    </xf>
    <xf numFmtId="2" fontId="41" fillId="8" borderId="0" xfId="4" applyNumberFormat="1" applyFont="1" applyFill="1" applyProtection="1">
      <protection locked="0"/>
    </xf>
    <xf numFmtId="0" fontId="37" fillId="0" borderId="0" xfId="0" applyFont="1" applyAlignment="1">
      <alignment horizontal="left"/>
    </xf>
    <xf numFmtId="0" fontId="26" fillId="7" borderId="0" xfId="0" applyFont="1" applyFill="1" applyAlignment="1" applyProtection="1">
      <alignment horizontal="left"/>
      <protection locked="0"/>
    </xf>
    <xf numFmtId="0" fontId="27" fillId="7" borderId="0" xfId="0" applyFont="1" applyFill="1" applyAlignment="1" applyProtection="1">
      <alignment horizontal="left"/>
      <protection locked="0"/>
    </xf>
    <xf numFmtId="0" fontId="37" fillId="7" borderId="0" xfId="0" applyFont="1" applyFill="1" applyAlignment="1" applyProtection="1">
      <alignment horizontal="left"/>
      <protection locked="0"/>
    </xf>
    <xf numFmtId="0" fontId="56" fillId="0" borderId="17" xfId="0" applyFont="1" applyBorder="1" applyAlignment="1">
      <alignment horizontal="center" vertical="center" wrapText="1"/>
    </xf>
    <xf numFmtId="0" fontId="56" fillId="11" borderId="17" xfId="0" applyFont="1" applyFill="1" applyBorder="1" applyAlignment="1">
      <alignment horizontal="center" vertical="center" wrapText="1"/>
    </xf>
    <xf numFmtId="0" fontId="57" fillId="11" borderId="17" xfId="0" applyFont="1" applyFill="1" applyBorder="1" applyAlignment="1">
      <alignment horizontal="center" vertical="center" wrapText="1"/>
    </xf>
    <xf numFmtId="0" fontId="27" fillId="0" borderId="0" xfId="1" applyFont="1" applyAlignment="1">
      <alignment horizontal="center"/>
    </xf>
    <xf numFmtId="0" fontId="27" fillId="0" borderId="0" xfId="1" applyFont="1" applyAlignment="1" applyProtection="1">
      <alignment horizontal="center" vertical="center"/>
      <protection locked="0"/>
    </xf>
    <xf numFmtId="1" fontId="50" fillId="0" borderId="0" xfId="1" applyNumberFormat="1" applyFont="1" applyAlignment="1">
      <alignment horizontal="center" vertical="center"/>
    </xf>
    <xf numFmtId="0" fontId="52" fillId="0" borderId="0" xfId="1" applyFont="1"/>
    <xf numFmtId="165" fontId="27" fillId="0" borderId="3" xfId="1" applyNumberFormat="1" applyFont="1" applyBorder="1"/>
    <xf numFmtId="0" fontId="27" fillId="0" borderId="0" xfId="1" applyFont="1" applyAlignment="1" applyProtection="1">
      <alignment vertical="center"/>
      <protection locked="0"/>
    </xf>
    <xf numFmtId="0" fontId="25" fillId="0" borderId="0" xfId="1" applyFont="1" applyAlignment="1">
      <alignment vertical="center" wrapText="1"/>
    </xf>
    <xf numFmtId="0" fontId="27" fillId="0" borderId="63" xfId="0" applyFont="1" applyBorder="1"/>
    <xf numFmtId="0" fontId="27" fillId="0" borderId="17" xfId="0" applyFont="1" applyBorder="1"/>
    <xf numFmtId="2" fontId="26" fillId="0" borderId="0" xfId="0" applyNumberFormat="1" applyFont="1" applyAlignment="1">
      <alignment horizontal="center"/>
    </xf>
    <xf numFmtId="165" fontId="27" fillId="0" borderId="45" xfId="0" applyNumberFormat="1" applyFont="1" applyBorder="1" applyAlignment="1" applyProtection="1">
      <alignment horizontal="center" vertical="center" wrapText="1"/>
      <protection locked="0"/>
    </xf>
    <xf numFmtId="165" fontId="27" fillId="0" borderId="18" xfId="0" applyNumberFormat="1" applyFont="1" applyBorder="1" applyAlignment="1" applyProtection="1">
      <alignment horizontal="center" vertical="center" wrapText="1"/>
      <protection locked="0"/>
    </xf>
    <xf numFmtId="165" fontId="27" fillId="0" borderId="64" xfId="0" applyNumberFormat="1" applyFont="1" applyBorder="1" applyAlignment="1" applyProtection="1">
      <alignment horizontal="center" vertical="center" wrapText="1"/>
      <protection locked="0"/>
    </xf>
    <xf numFmtId="165" fontId="28" fillId="4" borderId="8" xfId="0" applyNumberFormat="1" applyFont="1" applyFill="1" applyBorder="1" applyAlignment="1">
      <alignment horizontal="center" vertical="center"/>
    </xf>
    <xf numFmtId="165" fontId="27" fillId="0" borderId="65" xfId="0" applyNumberFormat="1" applyFont="1" applyBorder="1" applyAlignment="1" applyProtection="1">
      <alignment horizontal="center" vertical="center" wrapText="1"/>
      <protection locked="0"/>
    </xf>
    <xf numFmtId="165" fontId="27" fillId="0" borderId="66" xfId="0" applyNumberFormat="1" applyFont="1" applyBorder="1" applyAlignment="1" applyProtection="1">
      <alignment horizontal="center" vertical="center" wrapText="1"/>
      <protection locked="0"/>
    </xf>
    <xf numFmtId="165" fontId="27" fillId="0" borderId="67" xfId="0" applyNumberFormat="1" applyFont="1" applyBorder="1" applyAlignment="1" applyProtection="1">
      <alignment horizontal="center" vertical="center" wrapText="1"/>
      <protection locked="0"/>
    </xf>
    <xf numFmtId="165" fontId="27" fillId="0" borderId="68" xfId="0" applyNumberFormat="1" applyFont="1" applyBorder="1" applyAlignment="1" applyProtection="1">
      <alignment horizontal="center" vertical="center" wrapText="1"/>
      <protection locked="0"/>
    </xf>
    <xf numFmtId="167" fontId="27" fillId="0" borderId="20" xfId="0" applyNumberFormat="1" applyFont="1" applyBorder="1" applyAlignment="1">
      <alignment horizontal="center" vertical="center"/>
    </xf>
    <xf numFmtId="167" fontId="27" fillId="0" borderId="5" xfId="0" applyNumberFormat="1" applyFont="1" applyBorder="1" applyAlignment="1">
      <alignment horizontal="center" vertical="center"/>
    </xf>
    <xf numFmtId="0" fontId="2" fillId="0" borderId="0" xfId="0" applyFont="1"/>
    <xf numFmtId="0" fontId="37" fillId="0" borderId="0" xfId="0" applyFont="1" applyAlignment="1">
      <alignment horizontal="left" vertical="center"/>
    </xf>
    <xf numFmtId="165" fontId="27" fillId="6" borderId="7" xfId="0" applyNumberFormat="1" applyFont="1" applyFill="1" applyBorder="1"/>
    <xf numFmtId="166" fontId="27" fillId="6" borderId="0" xfId="0" applyNumberFormat="1" applyFont="1" applyFill="1" applyAlignment="1">
      <alignment horizontal="right"/>
    </xf>
    <xf numFmtId="21" fontId="27" fillId="7" borderId="0" xfId="0" applyNumberFormat="1" applyFont="1" applyFill="1" applyAlignment="1">
      <alignment horizontal="left" vertical="center"/>
    </xf>
    <xf numFmtId="0" fontId="44" fillId="6" borderId="0" xfId="0" applyFont="1" applyFill="1"/>
    <xf numFmtId="0" fontId="27" fillId="0" borderId="0" xfId="0" applyFont="1" applyAlignment="1">
      <alignment horizontal="center" vertical="center"/>
    </xf>
    <xf numFmtId="165" fontId="32" fillId="0" borderId="0" xfId="0" applyNumberFormat="1" applyFont="1" applyAlignment="1">
      <alignment horizontal="center" vertical="center" wrapText="1"/>
    </xf>
    <xf numFmtId="165" fontId="33" fillId="0" borderId="0" xfId="0" applyNumberFormat="1" applyFont="1" applyAlignment="1">
      <alignment horizontal="center" vertical="center" wrapText="1"/>
    </xf>
    <xf numFmtId="1" fontId="26" fillId="0" borderId="0" xfId="0" applyNumberFormat="1" applyFont="1" applyAlignment="1">
      <alignment vertical="center" wrapText="1"/>
    </xf>
    <xf numFmtId="165" fontId="33" fillId="0" borderId="0" xfId="0" applyNumberFormat="1" applyFont="1" applyAlignment="1">
      <alignment vertical="center" wrapText="1"/>
    </xf>
    <xf numFmtId="165" fontId="32" fillId="0" borderId="0" xfId="0" applyNumberFormat="1" applyFont="1" applyAlignment="1">
      <alignment vertical="center" wrapText="1"/>
    </xf>
    <xf numFmtId="1" fontId="26" fillId="0" borderId="0" xfId="0" applyNumberFormat="1" applyFont="1" applyAlignment="1">
      <alignment vertical="center"/>
    </xf>
    <xf numFmtId="0" fontId="26" fillId="7" borderId="34" xfId="0" applyFont="1" applyFill="1" applyBorder="1"/>
    <xf numFmtId="0" fontId="26" fillId="7" borderId="31" xfId="0" applyFont="1" applyFill="1" applyBorder="1"/>
    <xf numFmtId="0" fontId="26" fillId="7" borderId="35" xfId="0" applyFont="1" applyFill="1" applyBorder="1" applyAlignment="1">
      <alignment horizontal="center"/>
    </xf>
    <xf numFmtId="0" fontId="26" fillId="7" borderId="32" xfId="0" applyFont="1" applyFill="1" applyBorder="1" applyAlignment="1">
      <alignment horizontal="center"/>
    </xf>
    <xf numFmtId="0" fontId="27" fillId="7" borderId="47" xfId="0" applyFont="1" applyFill="1" applyBorder="1" applyAlignment="1">
      <alignment horizontal="left"/>
    </xf>
    <xf numFmtId="0" fontId="27" fillId="7" borderId="28" xfId="0" applyFont="1" applyFill="1" applyBorder="1" applyAlignment="1">
      <alignment horizontal="left"/>
    </xf>
    <xf numFmtId="0" fontId="27" fillId="0" borderId="29" xfId="0" applyFont="1" applyBorder="1" applyAlignment="1">
      <alignment horizontal="center" vertical="center"/>
    </xf>
    <xf numFmtId="0" fontId="50" fillId="0" borderId="32" xfId="0" applyFont="1" applyBorder="1" applyAlignment="1">
      <alignment horizontal="center" vertical="center"/>
    </xf>
    <xf numFmtId="3" fontId="50" fillId="0" borderId="32" xfId="0" applyNumberFormat="1" applyFont="1" applyBorder="1" applyAlignment="1">
      <alignment horizontal="center" vertical="center"/>
    </xf>
    <xf numFmtId="3" fontId="50" fillId="0" borderId="28" xfId="0" applyNumberFormat="1" applyFont="1" applyBorder="1" applyAlignment="1">
      <alignment horizontal="center" vertical="center"/>
    </xf>
    <xf numFmtId="165" fontId="59" fillId="0" borderId="31" xfId="0" applyNumberFormat="1" applyFont="1" applyBorder="1" applyAlignment="1">
      <alignment horizontal="center" vertical="center"/>
    </xf>
    <xf numFmtId="165" fontId="60" fillId="0" borderId="32" xfId="0" applyNumberFormat="1" applyFont="1" applyBorder="1" applyAlignment="1">
      <alignment horizontal="center" vertical="center"/>
    </xf>
    <xf numFmtId="0" fontId="40" fillId="0" borderId="35" xfId="0" applyFont="1" applyBorder="1" applyAlignment="1">
      <alignment horizontal="center" vertical="center"/>
    </xf>
    <xf numFmtId="0" fontId="40" fillId="0" borderId="17" xfId="0" applyFont="1" applyBorder="1" applyAlignment="1">
      <alignment horizontal="center" vertical="center"/>
    </xf>
    <xf numFmtId="0" fontId="40" fillId="0" borderId="70" xfId="0" applyFont="1" applyBorder="1" applyAlignment="1">
      <alignment horizontal="center" vertical="center"/>
    </xf>
    <xf numFmtId="165" fontId="59" fillId="0" borderId="69" xfId="0" applyNumberFormat="1" applyFont="1" applyBorder="1" applyAlignment="1">
      <alignment horizontal="center" vertical="center"/>
    </xf>
    <xf numFmtId="165" fontId="60" fillId="0" borderId="51" xfId="0" applyNumberFormat="1" applyFont="1" applyBorder="1" applyAlignment="1">
      <alignment horizontal="center" vertical="center"/>
    </xf>
    <xf numFmtId="0" fontId="40" fillId="0" borderId="32" xfId="0" applyFont="1" applyBorder="1" applyAlignment="1">
      <alignment horizontal="center" vertical="center"/>
    </xf>
    <xf numFmtId="3" fontId="50" fillId="0" borderId="51" xfId="0" applyNumberFormat="1" applyFont="1" applyBorder="1" applyAlignment="1">
      <alignment horizontal="center" vertical="center"/>
    </xf>
    <xf numFmtId="168" fontId="59" fillId="0" borderId="51" xfId="0" applyNumberFormat="1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168" fontId="60" fillId="0" borderId="49" xfId="0" applyNumberFormat="1" applyFont="1" applyBorder="1" applyAlignment="1">
      <alignment horizontal="center" vertical="center"/>
    </xf>
    <xf numFmtId="3" fontId="50" fillId="0" borderId="59" xfId="0" applyNumberFormat="1" applyFont="1" applyBorder="1" applyAlignment="1">
      <alignment horizontal="center" vertical="center"/>
    </xf>
    <xf numFmtId="165" fontId="59" fillId="0" borderId="32" xfId="0" applyNumberFormat="1" applyFont="1" applyBorder="1" applyAlignment="1">
      <alignment horizontal="center" vertical="center"/>
    </xf>
    <xf numFmtId="14" fontId="58" fillId="0" borderId="17" xfId="5" applyNumberFormat="1" applyFont="1" applyBorder="1" applyAlignment="1">
      <alignment horizontal="center" vertical="center" wrapText="1"/>
    </xf>
    <xf numFmtId="14" fontId="57" fillId="12" borderId="17" xfId="5" applyNumberFormat="1" applyFont="1" applyFill="1" applyBorder="1" applyAlignment="1">
      <alignment horizontal="center" vertical="center" wrapText="1"/>
    </xf>
    <xf numFmtId="14" fontId="58" fillId="0" borderId="17" xfId="0" applyNumberFormat="1" applyFont="1" applyBorder="1" applyAlignment="1">
      <alignment horizontal="center" vertical="center" wrapText="1"/>
    </xf>
    <xf numFmtId="14" fontId="57" fillId="11" borderId="17" xfId="0" applyNumberFormat="1" applyFont="1" applyFill="1" applyBorder="1" applyAlignment="1">
      <alignment horizontal="center" vertical="center" wrapText="1"/>
    </xf>
    <xf numFmtId="0" fontId="55" fillId="0" borderId="17" xfId="0" applyFont="1" applyBorder="1" applyAlignment="1">
      <alignment horizontal="center" vertical="center" wrapText="1"/>
    </xf>
    <xf numFmtId="0" fontId="27" fillId="0" borderId="13" xfId="0" applyFont="1" applyBorder="1"/>
    <xf numFmtId="14" fontId="27" fillId="0" borderId="14" xfId="0" applyNumberFormat="1" applyFont="1" applyBorder="1"/>
    <xf numFmtId="0" fontId="27" fillId="0" borderId="15" xfId="0" applyFont="1" applyBorder="1"/>
    <xf numFmtId="0" fontId="55" fillId="6" borderId="17" xfId="0" applyFont="1" applyFill="1" applyBorder="1" applyAlignment="1">
      <alignment horizontal="center" vertical="center" wrapText="1"/>
    </xf>
    <xf numFmtId="14" fontId="57" fillId="6" borderId="17" xfId="0" applyNumberFormat="1" applyFont="1" applyFill="1" applyBorder="1" applyAlignment="1">
      <alignment horizontal="center" vertical="center" wrapText="1"/>
    </xf>
    <xf numFmtId="0" fontId="26" fillId="6" borderId="0" xfId="0" applyFont="1" applyFill="1"/>
    <xf numFmtId="1" fontId="26" fillId="0" borderId="0" xfId="0" applyNumberFormat="1" applyFont="1" applyAlignment="1">
      <alignment horizontal="center" vertical="center"/>
    </xf>
    <xf numFmtId="1" fontId="27" fillId="0" borderId="56" xfId="0" applyNumberFormat="1" applyFont="1" applyBorder="1" applyAlignment="1">
      <alignment horizontal="center" vertical="center"/>
    </xf>
    <xf numFmtId="0" fontId="26" fillId="0" borderId="71" xfId="0" applyFont="1" applyBorder="1" applyAlignment="1">
      <alignment horizontal="center" vertical="center"/>
    </xf>
    <xf numFmtId="1" fontId="27" fillId="0" borderId="72" xfId="0" applyNumberFormat="1" applyFont="1" applyBorder="1" applyAlignment="1">
      <alignment horizontal="center" vertical="center"/>
    </xf>
    <xf numFmtId="1" fontId="27" fillId="0" borderId="71" xfId="0" applyNumberFormat="1" applyFont="1" applyBorder="1" applyAlignment="1">
      <alignment horizontal="center" vertical="center"/>
    </xf>
    <xf numFmtId="1" fontId="26" fillId="0" borderId="73" xfId="0" applyNumberFormat="1" applyFont="1" applyBorder="1" applyAlignment="1">
      <alignment horizontal="center"/>
    </xf>
    <xf numFmtId="0" fontId="26" fillId="0" borderId="71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62" fillId="0" borderId="0" xfId="0" applyFont="1" applyAlignment="1">
      <alignment horizontal="center"/>
    </xf>
    <xf numFmtId="0" fontId="62" fillId="0" borderId="0" xfId="0" applyFont="1"/>
    <xf numFmtId="0" fontId="58" fillId="0" borderId="17" xfId="0" applyFont="1" applyBorder="1" applyAlignment="1">
      <alignment horizontal="center" vertical="center"/>
    </xf>
    <xf numFmtId="0" fontId="58" fillId="0" borderId="21" xfId="0" applyFont="1" applyBorder="1" applyAlignment="1">
      <alignment horizontal="center" vertical="center"/>
    </xf>
    <xf numFmtId="1" fontId="58" fillId="0" borderId="17" xfId="0" applyNumberFormat="1" applyFont="1" applyBorder="1" applyAlignment="1">
      <alignment horizontal="center" vertical="center"/>
    </xf>
    <xf numFmtId="165" fontId="58" fillId="0" borderId="17" xfId="0" applyNumberFormat="1" applyFont="1" applyBorder="1" applyAlignment="1">
      <alignment horizontal="center" vertical="center"/>
    </xf>
    <xf numFmtId="0" fontId="58" fillId="0" borderId="29" xfId="0" applyFont="1" applyBorder="1" applyAlignment="1">
      <alignment vertical="center"/>
    </xf>
    <xf numFmtId="165" fontId="58" fillId="0" borderId="19" xfId="0" applyNumberFormat="1" applyFont="1" applyBorder="1" applyAlignment="1">
      <alignment horizontal="center" vertical="center"/>
    </xf>
    <xf numFmtId="1" fontId="58" fillId="0" borderId="21" xfId="0" applyNumberFormat="1" applyFont="1" applyBorder="1" applyAlignment="1">
      <alignment horizontal="center" vertical="center"/>
    </xf>
    <xf numFmtId="165" fontId="58" fillId="0" borderId="21" xfId="0" applyNumberFormat="1" applyFont="1" applyBorder="1" applyAlignment="1">
      <alignment horizontal="center" vertical="center"/>
    </xf>
    <xf numFmtId="165" fontId="58" fillId="0" borderId="22" xfId="0" applyNumberFormat="1" applyFont="1" applyBorder="1" applyAlignment="1">
      <alignment horizontal="center" vertical="center"/>
    </xf>
    <xf numFmtId="0" fontId="58" fillId="13" borderId="32" xfId="0" applyFont="1" applyFill="1" applyBorder="1" applyAlignment="1">
      <alignment horizontal="center" vertical="center"/>
    </xf>
    <xf numFmtId="0" fontId="58" fillId="13" borderId="28" xfId="0" applyFont="1" applyFill="1" applyBorder="1" applyAlignment="1">
      <alignment horizontal="center" vertical="center"/>
    </xf>
    <xf numFmtId="1" fontId="63" fillId="13" borderId="17" xfId="0" applyNumberFormat="1" applyFont="1" applyFill="1" applyBorder="1" applyAlignment="1">
      <alignment horizontal="center" vertical="center"/>
    </xf>
    <xf numFmtId="1" fontId="63" fillId="13" borderId="32" xfId="0" applyNumberFormat="1" applyFont="1" applyFill="1" applyBorder="1" applyAlignment="1">
      <alignment horizontal="center" vertical="center"/>
    </xf>
    <xf numFmtId="1" fontId="58" fillId="0" borderId="21" xfId="0" applyNumberFormat="1" applyFont="1" applyBorder="1" applyAlignment="1">
      <alignment horizontal="center" vertical="center" wrapText="1"/>
    </xf>
    <xf numFmtId="3" fontId="58" fillId="0" borderId="17" xfId="0" applyNumberFormat="1" applyFont="1" applyBorder="1" applyAlignment="1">
      <alignment horizontal="center" vertical="center" wrapText="1"/>
    </xf>
    <xf numFmtId="3" fontId="63" fillId="13" borderId="17" xfId="0" applyNumberFormat="1" applyFont="1" applyFill="1" applyBorder="1" applyAlignment="1">
      <alignment horizontal="center" vertical="center" wrapText="1"/>
    </xf>
    <xf numFmtId="3" fontId="63" fillId="13" borderId="32" xfId="0" applyNumberFormat="1" applyFont="1" applyFill="1" applyBorder="1" applyAlignment="1">
      <alignment horizontal="center" vertical="center" wrapText="1"/>
    </xf>
    <xf numFmtId="3" fontId="58" fillId="0" borderId="21" xfId="0" applyNumberFormat="1" applyFont="1" applyBorder="1" applyAlignment="1">
      <alignment horizontal="center" vertical="center"/>
    </xf>
    <xf numFmtId="3" fontId="58" fillId="0" borderId="17" xfId="0" applyNumberFormat="1" applyFont="1" applyBorder="1" applyAlignment="1">
      <alignment horizontal="center" vertical="center"/>
    </xf>
    <xf numFmtId="3" fontId="63" fillId="13" borderId="17" xfId="0" applyNumberFormat="1" applyFont="1" applyFill="1" applyBorder="1" applyAlignment="1">
      <alignment horizontal="center" vertical="center"/>
    </xf>
    <xf numFmtId="3" fontId="63" fillId="13" borderId="32" xfId="0" applyNumberFormat="1" applyFont="1" applyFill="1" applyBorder="1" applyAlignment="1">
      <alignment horizontal="center" vertical="center"/>
    </xf>
    <xf numFmtId="3" fontId="27" fillId="0" borderId="0" xfId="0" applyNumberFormat="1" applyFont="1"/>
    <xf numFmtId="3" fontId="58" fillId="0" borderId="22" xfId="0" applyNumberFormat="1" applyFont="1" applyBorder="1" applyAlignment="1">
      <alignment horizontal="center" vertical="center"/>
    </xf>
    <xf numFmtId="3" fontId="58" fillId="0" borderId="19" xfId="0" applyNumberFormat="1" applyFont="1" applyBorder="1" applyAlignment="1">
      <alignment horizontal="center" vertical="center"/>
    </xf>
    <xf numFmtId="3" fontId="63" fillId="13" borderId="19" xfId="0" applyNumberFormat="1" applyFont="1" applyFill="1" applyBorder="1" applyAlignment="1">
      <alignment horizontal="center" vertical="center"/>
    </xf>
    <xf numFmtId="3" fontId="63" fillId="13" borderId="28" xfId="0" applyNumberFormat="1" applyFont="1" applyFill="1" applyBorder="1" applyAlignment="1">
      <alignment horizontal="center" vertical="center"/>
    </xf>
    <xf numFmtId="0" fontId="58" fillId="13" borderId="27" xfId="0" applyFont="1" applyFill="1" applyBorder="1" applyAlignment="1">
      <alignment horizontal="center" vertical="center"/>
    </xf>
    <xf numFmtId="14" fontId="58" fillId="0" borderId="29" xfId="0" applyNumberFormat="1" applyFont="1" applyBorder="1" applyAlignment="1">
      <alignment horizontal="center" vertical="center"/>
    </xf>
    <xf numFmtId="0" fontId="67" fillId="0" borderId="32" xfId="0" applyFont="1" applyBorder="1" applyAlignment="1">
      <alignment horizontal="center" vertical="center"/>
    </xf>
    <xf numFmtId="0" fontId="68" fillId="0" borderId="32" xfId="0" applyFont="1" applyBorder="1" applyAlignment="1">
      <alignment horizontal="center" vertical="center"/>
    </xf>
    <xf numFmtId="0" fontId="67" fillId="0" borderId="32" xfId="0" applyFont="1" applyBorder="1" applyAlignment="1">
      <alignment horizontal="center" vertical="center" wrapText="1"/>
    </xf>
    <xf numFmtId="0" fontId="68" fillId="0" borderId="28" xfId="0" applyFont="1" applyBorder="1" applyAlignment="1">
      <alignment horizontal="center" vertical="center" wrapText="1"/>
    </xf>
    <xf numFmtId="14" fontId="58" fillId="0" borderId="75" xfId="0" applyNumberFormat="1" applyFont="1" applyBorder="1" applyAlignment="1">
      <alignment horizontal="center" vertical="center"/>
    </xf>
    <xf numFmtId="165" fontId="55" fillId="13" borderId="17" xfId="0" applyNumberFormat="1" applyFont="1" applyFill="1" applyBorder="1" applyAlignment="1">
      <alignment horizontal="center" vertical="center"/>
    </xf>
    <xf numFmtId="3" fontId="55" fillId="13" borderId="17" xfId="0" applyNumberFormat="1" applyFont="1" applyFill="1" applyBorder="1" applyAlignment="1">
      <alignment horizontal="center" vertical="center"/>
    </xf>
    <xf numFmtId="0" fontId="69" fillId="0" borderId="0" xfId="0" applyFont="1"/>
    <xf numFmtId="0" fontId="61" fillId="0" borderId="0" xfId="0" applyFont="1" applyAlignment="1">
      <alignment horizontal="left"/>
    </xf>
    <xf numFmtId="0" fontId="27" fillId="13" borderId="31" xfId="0" applyFont="1" applyFill="1" applyBorder="1" applyAlignment="1">
      <alignment horizontal="center" vertical="center"/>
    </xf>
    <xf numFmtId="0" fontId="27" fillId="13" borderId="32" xfId="0" applyFont="1" applyFill="1" applyBorder="1" applyAlignment="1">
      <alignment horizontal="center" vertical="center"/>
    </xf>
    <xf numFmtId="165" fontId="32" fillId="0" borderId="62" xfId="0" applyNumberFormat="1" applyFont="1" applyBorder="1" applyAlignment="1">
      <alignment horizontal="center" vertical="center" wrapText="1"/>
    </xf>
    <xf numFmtId="165" fontId="33" fillId="0" borderId="51" xfId="0" applyNumberFormat="1" applyFont="1" applyBorder="1" applyAlignment="1">
      <alignment horizontal="center" vertical="center" wrapText="1"/>
    </xf>
    <xf numFmtId="0" fontId="50" fillId="0" borderId="0" xfId="0" applyFont="1" applyAlignment="1" applyProtection="1">
      <alignment horizontal="center" vertical="center"/>
      <protection locked="0"/>
    </xf>
    <xf numFmtId="0" fontId="65" fillId="14" borderId="32" xfId="0" applyFont="1" applyFill="1" applyBorder="1" applyAlignment="1">
      <alignment horizontal="center" vertical="center" wrapText="1"/>
    </xf>
    <xf numFmtId="0" fontId="65" fillId="14" borderId="28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7" xfId="0" applyBorder="1"/>
    <xf numFmtId="21" fontId="0" fillId="0" borderId="3" xfId="0" applyNumberFormat="1" applyBorder="1"/>
    <xf numFmtId="0" fontId="0" fillId="0" borderId="2" xfId="0" applyBorder="1"/>
    <xf numFmtId="0" fontId="0" fillId="0" borderId="48" xfId="0" applyBorder="1"/>
    <xf numFmtId="0" fontId="0" fillId="0" borderId="55" xfId="0" applyBorder="1"/>
    <xf numFmtId="0" fontId="0" fillId="0" borderId="5" xfId="0" applyBorder="1"/>
    <xf numFmtId="0" fontId="0" fillId="0" borderId="6" xfId="0" applyBorder="1"/>
    <xf numFmtId="0" fontId="0" fillId="8" borderId="1" xfId="0" applyFill="1" applyBorder="1"/>
    <xf numFmtId="0" fontId="70" fillId="0" borderId="0" xfId="0" applyFont="1"/>
    <xf numFmtId="3" fontId="55" fillId="13" borderId="19" xfId="0" applyNumberFormat="1" applyFont="1" applyFill="1" applyBorder="1" applyAlignment="1">
      <alignment horizontal="center" vertical="center"/>
    </xf>
    <xf numFmtId="1" fontId="63" fillId="0" borderId="17" xfId="0" applyNumberFormat="1" applyFont="1" applyBorder="1" applyAlignment="1">
      <alignment horizontal="center" vertical="center"/>
    </xf>
    <xf numFmtId="0" fontId="55" fillId="0" borderId="62" xfId="0" applyFont="1" applyBorder="1" applyAlignment="1">
      <alignment vertical="center"/>
    </xf>
    <xf numFmtId="0" fontId="63" fillId="0" borderId="51" xfId="0" applyFont="1" applyBorder="1" applyAlignment="1">
      <alignment horizontal="center" vertical="center"/>
    </xf>
    <xf numFmtId="0" fontId="58" fillId="0" borderId="76" xfId="0" applyFont="1" applyBorder="1" applyAlignment="1">
      <alignment vertical="center"/>
    </xf>
    <xf numFmtId="1" fontId="63" fillId="0" borderId="51" xfId="0" applyNumberFormat="1" applyFont="1" applyBorder="1" applyAlignment="1">
      <alignment horizontal="center" vertical="center"/>
    </xf>
    <xf numFmtId="1" fontId="63" fillId="0" borderId="77" xfId="0" applyNumberFormat="1" applyFont="1" applyBorder="1" applyAlignment="1">
      <alignment horizontal="center" vertical="center"/>
    </xf>
    <xf numFmtId="1" fontId="63" fillId="0" borderId="78" xfId="0" applyNumberFormat="1" applyFont="1" applyBorder="1" applyAlignment="1">
      <alignment horizontal="center" vertical="center"/>
    </xf>
    <xf numFmtId="165" fontId="63" fillId="13" borderId="17" xfId="0" applyNumberFormat="1" applyFont="1" applyFill="1" applyBorder="1" applyAlignment="1">
      <alignment horizontal="center" vertical="center"/>
    </xf>
    <xf numFmtId="165" fontId="63" fillId="13" borderId="19" xfId="0" applyNumberFormat="1" applyFont="1" applyFill="1" applyBorder="1" applyAlignment="1">
      <alignment horizontal="center" vertical="center"/>
    </xf>
    <xf numFmtId="165" fontId="63" fillId="13" borderId="32" xfId="0" applyNumberFormat="1" applyFont="1" applyFill="1" applyBorder="1" applyAlignment="1">
      <alignment horizontal="center" vertical="center"/>
    </xf>
    <xf numFmtId="165" fontId="63" fillId="13" borderId="28" xfId="0" applyNumberFormat="1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56" fillId="6" borderId="17" xfId="0" applyFont="1" applyFill="1" applyBorder="1" applyAlignment="1">
      <alignment horizontal="center" vertical="center" wrapText="1"/>
    </xf>
    <xf numFmtId="0" fontId="57" fillId="6" borderId="17" xfId="0" applyFont="1" applyFill="1" applyBorder="1" applyAlignment="1">
      <alignment horizontal="center" vertical="center" wrapText="1"/>
    </xf>
    <xf numFmtId="0" fontId="58" fillId="6" borderId="17" xfId="0" applyFont="1" applyFill="1" applyBorder="1" applyAlignment="1">
      <alignment horizontal="center" vertical="center" wrapText="1"/>
    </xf>
    <xf numFmtId="0" fontId="40" fillId="0" borderId="32" xfId="0" applyFont="1" applyBorder="1" applyAlignment="1" applyProtection="1">
      <alignment horizontal="left" vertical="center" wrapText="1"/>
      <protection locked="0"/>
    </xf>
    <xf numFmtId="0" fontId="0" fillId="0" borderId="54" xfId="0" applyBorder="1" applyProtection="1">
      <protection locked="0"/>
    </xf>
    <xf numFmtId="0" fontId="0" fillId="0" borderId="27" xfId="0" applyBorder="1" applyProtection="1">
      <protection locked="0"/>
    </xf>
    <xf numFmtId="165" fontId="27" fillId="0" borderId="17" xfId="0" applyNumberFormat="1" applyFont="1" applyBorder="1" applyAlignment="1" applyProtection="1">
      <alignment horizontal="center"/>
      <protection locked="0"/>
    </xf>
    <xf numFmtId="0" fontId="0" fillId="0" borderId="26" xfId="0" applyBorder="1" applyProtection="1">
      <protection locked="0"/>
    </xf>
    <xf numFmtId="0" fontId="40" fillId="0" borderId="17" xfId="0" applyFont="1" applyBorder="1" applyAlignment="1" applyProtection="1">
      <alignment horizontal="left" vertical="center" wrapText="1"/>
      <protection locked="0"/>
    </xf>
    <xf numFmtId="0" fontId="0" fillId="0" borderId="37" xfId="0" applyBorder="1" applyProtection="1">
      <protection locked="0"/>
    </xf>
    <xf numFmtId="165" fontId="27" fillId="0" borderId="59" xfId="0" applyNumberFormat="1" applyFont="1" applyBorder="1" applyAlignment="1">
      <alignment horizontal="center"/>
    </xf>
    <xf numFmtId="0" fontId="0" fillId="0" borderId="14" xfId="0" applyBorder="1"/>
    <xf numFmtId="1" fontId="27" fillId="0" borderId="17" xfId="0" applyNumberFormat="1" applyFont="1" applyBorder="1" applyAlignment="1">
      <alignment horizontal="center"/>
    </xf>
    <xf numFmtId="0" fontId="0" fillId="0" borderId="26" xfId="0" applyBorder="1"/>
    <xf numFmtId="0" fontId="37" fillId="0" borderId="0" xfId="0" applyFont="1" applyAlignment="1">
      <alignment horizontal="left"/>
    </xf>
    <xf numFmtId="0" fontId="27" fillId="0" borderId="0" xfId="0" applyFont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center"/>
    </xf>
    <xf numFmtId="165" fontId="27" fillId="0" borderId="43" xfId="0" applyNumberFormat="1" applyFont="1" applyBorder="1" applyAlignment="1">
      <alignment horizontal="center"/>
    </xf>
    <xf numFmtId="0" fontId="0" fillId="0" borderId="15" xfId="0" applyBorder="1"/>
    <xf numFmtId="0" fontId="36" fillId="0" borderId="69" xfId="0" applyFont="1" applyBorder="1" applyAlignment="1">
      <alignment horizontal="center"/>
    </xf>
    <xf numFmtId="0" fontId="0" fillId="0" borderId="16" xfId="0" applyBorder="1"/>
    <xf numFmtId="1" fontId="27" fillId="0" borderId="32" xfId="0" applyNumberFormat="1" applyFont="1" applyBorder="1" applyAlignment="1">
      <alignment horizontal="center"/>
    </xf>
    <xf numFmtId="0" fontId="0" fillId="0" borderId="27" xfId="0" applyBorder="1"/>
    <xf numFmtId="165" fontId="27" fillId="0" borderId="35" xfId="0" applyNumberFormat="1" applyFont="1" applyBorder="1" applyAlignment="1" applyProtection="1">
      <alignment horizontal="center"/>
      <protection locked="0"/>
    </xf>
    <xf numFmtId="0" fontId="0" fillId="0" borderId="25" xfId="0" applyBorder="1" applyProtection="1">
      <protection locked="0"/>
    </xf>
    <xf numFmtId="165" fontId="38" fillId="9" borderId="59" xfId="0" applyNumberFormat="1" applyFont="1" applyFill="1" applyBorder="1" applyAlignment="1">
      <alignment horizontal="center" vertical="center"/>
    </xf>
    <xf numFmtId="0" fontId="0" fillId="0" borderId="2" xfId="0" applyBorder="1"/>
    <xf numFmtId="0" fontId="0" fillId="0" borderId="41" xfId="0" applyBorder="1"/>
    <xf numFmtId="0" fontId="0" fillId="0" borderId="6" xfId="0" applyBorder="1"/>
    <xf numFmtId="0" fontId="38" fillId="9" borderId="13" xfId="0" applyFont="1" applyFill="1" applyBorder="1" applyAlignment="1">
      <alignment horizontal="center"/>
    </xf>
    <xf numFmtId="0" fontId="0" fillId="0" borderId="5" xfId="0" applyBorder="1"/>
    <xf numFmtId="165" fontId="27" fillId="0" borderId="53" xfId="0" applyNumberFormat="1" applyFont="1" applyBorder="1" applyAlignment="1">
      <alignment horizontal="center"/>
    </xf>
    <xf numFmtId="0" fontId="0" fillId="0" borderId="53" xfId="0" applyBorder="1"/>
    <xf numFmtId="0" fontId="40" fillId="0" borderId="35" xfId="0" applyFont="1" applyBorder="1" applyAlignment="1" applyProtection="1">
      <alignment horizontal="left" vertical="center" wrapText="1"/>
      <protection locked="0"/>
    </xf>
    <xf numFmtId="0" fontId="0" fillId="0" borderId="40" xfId="0" applyBorder="1" applyProtection="1">
      <protection locked="0"/>
    </xf>
    <xf numFmtId="165" fontId="38" fillId="9" borderId="51" xfId="0" applyNumberFormat="1" applyFont="1" applyFill="1" applyBorder="1" applyAlignment="1">
      <alignment horizontal="center" vertical="center"/>
    </xf>
    <xf numFmtId="0" fontId="0" fillId="0" borderId="8" xfId="0" applyBorder="1"/>
    <xf numFmtId="0" fontId="39" fillId="0" borderId="0" xfId="0" applyFont="1" applyAlignment="1">
      <alignment horizontal="left"/>
    </xf>
    <xf numFmtId="165" fontId="27" fillId="0" borderId="32" xfId="0" applyNumberFormat="1" applyFont="1" applyBorder="1" applyAlignment="1" applyProtection="1">
      <alignment horizontal="center"/>
      <protection locked="0"/>
    </xf>
    <xf numFmtId="0" fontId="36" fillId="7" borderId="0" xfId="0" applyFont="1" applyFill="1" applyAlignment="1">
      <alignment horizontal="center" vertical="center"/>
    </xf>
    <xf numFmtId="165" fontId="38" fillId="9" borderId="50" xfId="0" applyNumberFormat="1" applyFont="1" applyFill="1" applyBorder="1" applyAlignment="1">
      <alignment horizontal="center" vertical="center"/>
    </xf>
    <xf numFmtId="0" fontId="0" fillId="0" borderId="4" xfId="0" applyBorder="1"/>
    <xf numFmtId="0" fontId="38" fillId="9" borderId="15" xfId="0" applyFont="1" applyFill="1" applyBorder="1" applyAlignment="1">
      <alignment horizontal="left" vertical="center"/>
    </xf>
    <xf numFmtId="0" fontId="0" fillId="0" borderId="3" xfId="0" applyBorder="1"/>
    <xf numFmtId="0" fontId="0" fillId="0" borderId="7" xfId="0" applyBorder="1"/>
    <xf numFmtId="0" fontId="27" fillId="0" borderId="35" xfId="1" applyFont="1" applyBorder="1" applyAlignment="1" applyProtection="1">
      <alignment horizontal="center" vertical="center"/>
      <protection locked="0"/>
    </xf>
    <xf numFmtId="0" fontId="0" fillId="0" borderId="21" xfId="0" applyBorder="1" applyProtection="1">
      <protection locked="0"/>
    </xf>
    <xf numFmtId="0" fontId="27" fillId="0" borderId="39" xfId="1" applyFont="1" applyBorder="1" applyAlignment="1" applyProtection="1">
      <alignment horizontal="center" vertical="center"/>
      <protection locked="0"/>
    </xf>
    <xf numFmtId="0" fontId="0" fillId="0" borderId="23" xfId="0" applyBorder="1" applyProtection="1">
      <protection locked="0"/>
    </xf>
    <xf numFmtId="0" fontId="27" fillId="0" borderId="21" xfId="1" applyFont="1" applyBorder="1" applyAlignment="1" applyProtection="1">
      <alignment horizontal="center" vertical="center"/>
      <protection locked="0"/>
    </xf>
    <xf numFmtId="0" fontId="26" fillId="7" borderId="43" xfId="1" applyFont="1" applyFill="1" applyBorder="1" applyAlignment="1">
      <alignment horizontal="center" vertical="center" wrapText="1"/>
    </xf>
    <xf numFmtId="0" fontId="25" fillId="0" borderId="42" xfId="1" applyFont="1" applyBorder="1" applyAlignment="1">
      <alignment horizontal="center" vertical="center" wrapText="1"/>
    </xf>
    <xf numFmtId="0" fontId="0" fillId="0" borderId="24" xfId="0" applyBorder="1"/>
    <xf numFmtId="0" fontId="28" fillId="0" borderId="0" xfId="1" applyFont="1" applyAlignment="1">
      <alignment horizontal="center" vertical="center"/>
    </xf>
    <xf numFmtId="0" fontId="27" fillId="0" borderId="0" xfId="1" applyFont="1"/>
    <xf numFmtId="165" fontId="27" fillId="0" borderId="0" xfId="1" applyNumberFormat="1" applyFont="1"/>
    <xf numFmtId="0" fontId="27" fillId="0" borderId="23" xfId="1" applyFont="1" applyBorder="1" applyAlignment="1" applyProtection="1">
      <alignment horizontal="center" vertical="center"/>
      <protection locked="0"/>
    </xf>
    <xf numFmtId="0" fontId="43" fillId="0" borderId="42" xfId="1" applyFont="1" applyBorder="1" applyAlignment="1">
      <alignment horizontal="center" vertical="center"/>
    </xf>
    <xf numFmtId="0" fontId="26" fillId="7" borderId="15" xfId="1" applyFont="1" applyFill="1" applyBorder="1" applyAlignment="1">
      <alignment horizontal="center" vertical="center" wrapText="1"/>
    </xf>
    <xf numFmtId="0" fontId="2" fillId="0" borderId="69" xfId="0" applyFont="1" applyBorder="1" applyAlignment="1">
      <alignment horizontal="center"/>
    </xf>
    <xf numFmtId="0" fontId="26" fillId="0" borderId="43" xfId="0" applyFont="1" applyBorder="1" applyAlignment="1">
      <alignment horizontal="center" vertical="center"/>
    </xf>
    <xf numFmtId="0" fontId="0" fillId="0" borderId="56" xfId="0" applyBorder="1"/>
    <xf numFmtId="0" fontId="26" fillId="0" borderId="15" xfId="0" applyFont="1" applyBorder="1" applyAlignment="1">
      <alignment horizontal="center" vertical="center"/>
    </xf>
    <xf numFmtId="0" fontId="0" fillId="0" borderId="0" xfId="0"/>
    <xf numFmtId="0" fontId="26" fillId="0" borderId="49" xfId="0" applyFont="1" applyBorder="1" applyAlignment="1">
      <alignment horizontal="center" vertical="center"/>
    </xf>
    <xf numFmtId="0" fontId="0" fillId="0" borderId="58" xfId="0" applyBorder="1"/>
    <xf numFmtId="0" fontId="0" fillId="0" borderId="51" xfId="0" applyBorder="1"/>
    <xf numFmtId="0" fontId="26" fillId="0" borderId="43" xfId="0" applyFont="1" applyBorder="1" applyAlignment="1">
      <alignment horizontal="center" vertical="center" wrapText="1"/>
    </xf>
    <xf numFmtId="0" fontId="26" fillId="0" borderId="49" xfId="0" applyFont="1" applyBorder="1" applyAlignment="1">
      <alignment horizontal="center" vertical="center" wrapText="1"/>
    </xf>
    <xf numFmtId="0" fontId="27" fillId="0" borderId="80" xfId="0" applyFont="1" applyBorder="1" applyAlignment="1">
      <alignment horizontal="center" vertical="center"/>
    </xf>
    <xf numFmtId="0" fontId="0" fillId="0" borderId="40" xfId="0" applyBorder="1"/>
    <xf numFmtId="0" fontId="0" fillId="0" borderId="36" xfId="0" applyBorder="1"/>
    <xf numFmtId="0" fontId="27" fillId="0" borderId="79" xfId="0" applyFont="1" applyBorder="1" applyAlignment="1">
      <alignment horizontal="center" vertical="center"/>
    </xf>
    <xf numFmtId="0" fontId="0" fillId="0" borderId="54" xfId="0" applyBorder="1"/>
    <xf numFmtId="0" fontId="0" fillId="0" borderId="33" xfId="0" applyBorder="1"/>
    <xf numFmtId="169" fontId="27" fillId="0" borderId="80" xfId="0" applyNumberFormat="1" applyFont="1" applyBorder="1" applyAlignment="1">
      <alignment horizontal="center"/>
    </xf>
    <xf numFmtId="0" fontId="26" fillId="0" borderId="49" xfId="0" applyFont="1" applyBorder="1" applyAlignment="1">
      <alignment horizontal="center"/>
    </xf>
    <xf numFmtId="14" fontId="27" fillId="0" borderId="79" xfId="0" applyNumberFormat="1" applyFont="1" applyBorder="1" applyAlignment="1">
      <alignment horizontal="center" vertical="center"/>
    </xf>
    <xf numFmtId="169" fontId="27" fillId="0" borderId="79" xfId="0" applyNumberFormat="1" applyFont="1" applyBorder="1" applyAlignment="1">
      <alignment horizontal="center"/>
    </xf>
    <xf numFmtId="14" fontId="27" fillId="0" borderId="80" xfId="0" applyNumberFormat="1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0" fillId="0" borderId="48" xfId="0" applyBorder="1"/>
    <xf numFmtId="0" fontId="44" fillId="7" borderId="42" xfId="0" applyFont="1" applyFill="1" applyBorder="1" applyAlignment="1">
      <alignment horizontal="center"/>
    </xf>
    <xf numFmtId="3" fontId="27" fillId="0" borderId="17" xfId="0" applyNumberFormat="1" applyFont="1" applyBorder="1" applyAlignment="1">
      <alignment horizontal="center"/>
    </xf>
    <xf numFmtId="0" fontId="27" fillId="0" borderId="81" xfId="0" applyFont="1" applyBorder="1" applyAlignment="1">
      <alignment horizontal="left" vertical="center"/>
    </xf>
    <xf numFmtId="0" fontId="0" fillId="0" borderId="57" xfId="0" applyBorder="1"/>
    <xf numFmtId="0" fontId="26" fillId="0" borderId="69" xfId="0" applyFont="1" applyBorder="1" applyAlignment="1">
      <alignment horizontal="center" vertical="center"/>
    </xf>
    <xf numFmtId="3" fontId="27" fillId="9" borderId="51" xfId="0" applyNumberFormat="1" applyFont="1" applyFill="1" applyBorder="1" applyAlignment="1">
      <alignment horizontal="center"/>
    </xf>
    <xf numFmtId="0" fontId="43" fillId="0" borderId="0" xfId="0" applyFont="1" applyAlignment="1">
      <alignment horizontal="center"/>
    </xf>
    <xf numFmtId="0" fontId="26" fillId="0" borderId="47" xfId="0" applyFont="1" applyBorder="1" applyAlignment="1">
      <alignment horizontal="center" vertical="center" wrapText="1"/>
    </xf>
    <xf numFmtId="0" fontId="0" fillId="0" borderId="23" xfId="0" applyBorder="1"/>
    <xf numFmtId="0" fontId="0" fillId="0" borderId="10" xfId="0" applyBorder="1"/>
    <xf numFmtId="0" fontId="26" fillId="9" borderId="69" xfId="0" applyFont="1" applyFill="1" applyBorder="1" applyAlignment="1">
      <alignment horizontal="left"/>
    </xf>
    <xf numFmtId="3" fontId="27" fillId="0" borderId="26" xfId="0" applyNumberFormat="1" applyFont="1" applyBorder="1" applyAlignment="1">
      <alignment horizontal="center"/>
    </xf>
    <xf numFmtId="0" fontId="27" fillId="0" borderId="48" xfId="0" applyFont="1" applyBorder="1" applyAlignment="1">
      <alignment horizontal="left" vertical="center"/>
    </xf>
    <xf numFmtId="0" fontId="45" fillId="0" borderId="0" xfId="0" applyFont="1" applyAlignment="1">
      <alignment horizontal="center" vertical="center" wrapText="1"/>
    </xf>
    <xf numFmtId="0" fontId="40" fillId="0" borderId="47" xfId="0" applyFont="1" applyBorder="1" applyAlignment="1">
      <alignment horizontal="center" vertical="center" wrapText="1"/>
    </xf>
    <xf numFmtId="0" fontId="0" fillId="0" borderId="22" xfId="0" applyBorder="1"/>
    <xf numFmtId="3" fontId="27" fillId="0" borderId="59" xfId="0" applyNumberFormat="1" applyFont="1" applyBorder="1" applyAlignment="1">
      <alignment horizontal="center" vertical="center"/>
    </xf>
    <xf numFmtId="0" fontId="26" fillId="0" borderId="50" xfId="0" applyFont="1" applyBorder="1" applyAlignment="1">
      <alignment horizontal="center" vertical="center"/>
    </xf>
    <xf numFmtId="3" fontId="27" fillId="9" borderId="60" xfId="0" applyNumberFormat="1" applyFont="1" applyFill="1" applyBorder="1" applyAlignment="1">
      <alignment horizontal="center"/>
    </xf>
    <xf numFmtId="0" fontId="27" fillId="0" borderId="0" xfId="0" applyFont="1" applyAlignment="1">
      <alignment horizontal="center" wrapText="1"/>
    </xf>
    <xf numFmtId="0" fontId="26" fillId="0" borderId="59" xfId="0" applyFont="1" applyBorder="1" applyAlignment="1">
      <alignment horizontal="center" vertical="center" wrapText="1"/>
    </xf>
    <xf numFmtId="0" fontId="26" fillId="0" borderId="43" xfId="0" applyFont="1" applyBorder="1" applyAlignment="1">
      <alignment horizontal="center" wrapText="1"/>
    </xf>
    <xf numFmtId="0" fontId="40" fillId="0" borderId="34" xfId="0" applyFont="1" applyBorder="1" applyAlignment="1">
      <alignment horizontal="center" vertical="center"/>
    </xf>
    <xf numFmtId="0" fontId="0" fillId="0" borderId="25" xfId="0" applyBorder="1"/>
    <xf numFmtId="0" fontId="27" fillId="0" borderId="62" xfId="0" applyFont="1" applyBorder="1" applyAlignment="1">
      <alignment horizontal="left" vertical="center"/>
    </xf>
    <xf numFmtId="0" fontId="27" fillId="0" borderId="5" xfId="0" applyFont="1" applyBorder="1" applyAlignment="1">
      <alignment horizontal="left" vertical="center"/>
    </xf>
    <xf numFmtId="1" fontId="26" fillId="0" borderId="0" xfId="0" applyNumberFormat="1" applyFont="1" applyAlignment="1">
      <alignment horizontal="center" vertical="center" wrapText="1"/>
    </xf>
    <xf numFmtId="3" fontId="27" fillId="0" borderId="35" xfId="0" applyNumberFormat="1" applyFont="1" applyBorder="1" applyAlignment="1">
      <alignment horizontal="center"/>
    </xf>
    <xf numFmtId="0" fontId="27" fillId="0" borderId="1" xfId="0" applyFont="1" applyBorder="1" applyAlignment="1">
      <alignment horizontal="left" vertical="center"/>
    </xf>
    <xf numFmtId="3" fontId="27" fillId="0" borderId="32" xfId="0" applyNumberFormat="1" applyFont="1" applyBorder="1" applyAlignment="1">
      <alignment horizontal="center"/>
    </xf>
    <xf numFmtId="0" fontId="26" fillId="0" borderId="83" xfId="0" applyFont="1" applyBorder="1" applyAlignment="1">
      <alignment horizontal="center" vertical="center" wrapText="1"/>
    </xf>
    <xf numFmtId="0" fontId="0" fillId="0" borderId="55" xfId="0" applyBorder="1"/>
    <xf numFmtId="0" fontId="40" fillId="0" borderId="35" xfId="0" applyFont="1" applyBorder="1" applyAlignment="1">
      <alignment horizontal="center" vertical="center" wrapText="1"/>
    </xf>
    <xf numFmtId="0" fontId="0" fillId="0" borderId="21" xfId="0" applyBorder="1"/>
    <xf numFmtId="3" fontId="27" fillId="0" borderId="25" xfId="0" applyNumberFormat="1" applyFont="1" applyBorder="1" applyAlignment="1">
      <alignment horizontal="center"/>
    </xf>
    <xf numFmtId="0" fontId="40" fillId="0" borderId="35" xfId="0" applyFont="1" applyBorder="1" applyAlignment="1">
      <alignment horizontal="center" vertical="center"/>
    </xf>
    <xf numFmtId="3" fontId="27" fillId="0" borderId="13" xfId="0" applyNumberFormat="1" applyFont="1" applyBorder="1" applyAlignment="1">
      <alignment horizontal="center" vertical="center"/>
    </xf>
    <xf numFmtId="3" fontId="27" fillId="0" borderId="27" xfId="0" applyNumberFormat="1" applyFont="1" applyBorder="1" applyAlignment="1">
      <alignment horizontal="center"/>
    </xf>
    <xf numFmtId="0" fontId="28" fillId="0" borderId="28" xfId="0" applyFont="1" applyBorder="1" applyAlignment="1">
      <alignment horizontal="center" vertical="center"/>
    </xf>
    <xf numFmtId="0" fontId="27" fillId="0" borderId="82" xfId="0" applyFont="1" applyBorder="1" applyAlignment="1">
      <alignment horizontal="left" vertical="center"/>
    </xf>
    <xf numFmtId="0" fontId="46" fillId="0" borderId="36" xfId="0" applyFont="1" applyBorder="1" applyAlignment="1">
      <alignment horizontal="center" vertical="center" wrapText="1"/>
    </xf>
    <xf numFmtId="0" fontId="44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9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9" fillId="0" borderId="46" xfId="0" applyFont="1" applyBorder="1" applyAlignment="1">
      <alignment horizontal="left"/>
    </xf>
    <xf numFmtId="0" fontId="0" fillId="0" borderId="46" xfId="0" applyBorder="1"/>
    <xf numFmtId="0" fontId="9" fillId="0" borderId="0" xfId="0" applyFont="1" applyAlignment="1">
      <alignment horizontal="center"/>
    </xf>
    <xf numFmtId="14" fontId="9" fillId="0" borderId="0" xfId="0" applyNumberFormat="1" applyFont="1" applyAlignment="1">
      <alignment horizontal="left"/>
    </xf>
    <xf numFmtId="0" fontId="8" fillId="0" borderId="11" xfId="0" applyFont="1" applyBorder="1" applyAlignment="1">
      <alignment horizontal="center"/>
    </xf>
    <xf numFmtId="0" fontId="0" fillId="0" borderId="11" xfId="0" applyBorder="1"/>
    <xf numFmtId="0" fontId="10" fillId="0" borderId="0" xfId="0" applyFont="1" applyAlignment="1">
      <alignment horizontal="left"/>
    </xf>
    <xf numFmtId="0" fontId="7" fillId="7" borderId="0" xfId="2" applyFont="1" applyFill="1" applyAlignment="1">
      <alignment horizontal="center" vertical="center"/>
    </xf>
    <xf numFmtId="0" fontId="6" fillId="0" borderId="0" xfId="2"/>
    <xf numFmtId="3" fontId="15" fillId="0" borderId="17" xfId="2" applyNumberFormat="1" applyFont="1" applyBorder="1" applyAlignment="1">
      <alignment horizontal="center" vertical="center"/>
    </xf>
    <xf numFmtId="0" fontId="15" fillId="6" borderId="17" xfId="2" applyFont="1" applyFill="1" applyBorder="1" applyAlignment="1">
      <alignment horizontal="center" vertical="center"/>
    </xf>
    <xf numFmtId="0" fontId="0" fillId="0" borderId="37" xfId="0" applyBorder="1"/>
    <xf numFmtId="0" fontId="14" fillId="7" borderId="17" xfId="2" applyFont="1" applyFill="1" applyBorder="1" applyAlignment="1">
      <alignment horizontal="center" vertical="center"/>
    </xf>
    <xf numFmtId="0" fontId="0" fillId="0" borderId="45" xfId="0" applyBorder="1"/>
    <xf numFmtId="0" fontId="0" fillId="0" borderId="12" xfId="0" applyBorder="1"/>
    <xf numFmtId="0" fontId="18" fillId="7" borderId="0" xfId="2" applyFont="1" applyFill="1" applyAlignment="1">
      <alignment horizontal="center" vertical="center"/>
    </xf>
    <xf numFmtId="0" fontId="27" fillId="0" borderId="47" xfId="0" applyFont="1" applyBorder="1" applyAlignment="1">
      <alignment horizontal="center" vertical="center" wrapText="1"/>
    </xf>
    <xf numFmtId="0" fontId="27" fillId="0" borderId="35" xfId="0" applyFont="1" applyBorder="1" applyAlignment="1">
      <alignment horizontal="center" vertical="center"/>
    </xf>
    <xf numFmtId="0" fontId="27" fillId="0" borderId="34" xfId="0" applyFont="1" applyBorder="1" applyAlignment="1">
      <alignment horizontal="center" vertical="center"/>
    </xf>
    <xf numFmtId="0" fontId="27" fillId="0" borderId="35" xfId="0" applyFont="1" applyBorder="1" applyAlignment="1">
      <alignment horizontal="center" vertical="center" wrapText="1"/>
    </xf>
    <xf numFmtId="165" fontId="33" fillId="0" borderId="0" xfId="0" applyNumberFormat="1" applyFont="1" applyAlignment="1">
      <alignment horizontal="center" vertical="center" wrapText="1"/>
    </xf>
    <xf numFmtId="1" fontId="26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63" fillId="13" borderId="34" xfId="0" applyFont="1" applyFill="1" applyBorder="1" applyAlignment="1">
      <alignment horizontal="left" vertical="center"/>
    </xf>
    <xf numFmtId="0" fontId="58" fillId="13" borderId="31" xfId="0" applyFont="1" applyFill="1" applyBorder="1" applyAlignment="1">
      <alignment horizontal="left" vertical="center"/>
    </xf>
    <xf numFmtId="0" fontId="66" fillId="0" borderId="31" xfId="0" applyFont="1" applyBorder="1" applyAlignment="1">
      <alignment horizontal="center" vertical="center" wrapText="1"/>
    </xf>
    <xf numFmtId="0" fontId="58" fillId="0" borderId="29" xfId="0" applyFont="1" applyBorder="1" applyAlignment="1">
      <alignment horizontal="left" vertical="center"/>
    </xf>
    <xf numFmtId="0" fontId="58" fillId="0" borderId="75" xfId="0" applyFont="1" applyBorder="1" applyAlignment="1">
      <alignment horizontal="left" vertical="center"/>
    </xf>
    <xf numFmtId="0" fontId="64" fillId="7" borderId="0" xfId="0" applyFont="1" applyFill="1" applyAlignment="1">
      <alignment horizontal="center" vertical="center"/>
    </xf>
    <xf numFmtId="0" fontId="58" fillId="13" borderId="29" xfId="0" applyFont="1" applyFill="1" applyBorder="1" applyAlignment="1">
      <alignment horizontal="left" vertical="center"/>
    </xf>
    <xf numFmtId="0" fontId="63" fillId="13" borderId="75" xfId="0" applyFont="1" applyFill="1" applyBorder="1" applyAlignment="1">
      <alignment horizontal="left" vertical="center"/>
    </xf>
    <xf numFmtId="0" fontId="58" fillId="13" borderId="25" xfId="0" applyFont="1" applyFill="1" applyBorder="1" applyAlignment="1">
      <alignment horizontal="center" vertical="center" wrapText="1"/>
    </xf>
    <xf numFmtId="0" fontId="58" fillId="13" borderId="42" xfId="0" applyFont="1" applyFill="1" applyBorder="1" applyAlignment="1">
      <alignment horizontal="center" vertical="center"/>
    </xf>
    <xf numFmtId="0" fontId="0" fillId="0" borderId="44" xfId="0" applyBorder="1"/>
    <xf numFmtId="0" fontId="27" fillId="13" borderId="32" xfId="0" applyFont="1" applyFill="1" applyBorder="1" applyAlignment="1">
      <alignment horizontal="center" vertical="center"/>
    </xf>
    <xf numFmtId="0" fontId="58" fillId="13" borderId="34" xfId="0" applyFont="1" applyFill="1" applyBorder="1" applyAlignment="1">
      <alignment horizontal="center" vertical="center"/>
    </xf>
    <xf numFmtId="0" fontId="0" fillId="0" borderId="9" xfId="0" applyBorder="1"/>
    <xf numFmtId="0" fontId="55" fillId="13" borderId="47" xfId="0" applyFont="1" applyFill="1" applyBorder="1" applyAlignment="1">
      <alignment horizontal="center" vertical="center" wrapText="1"/>
    </xf>
    <xf numFmtId="0" fontId="55" fillId="13" borderId="35" xfId="0" applyFont="1" applyFill="1" applyBorder="1" applyAlignment="1">
      <alignment horizontal="center" vertical="center"/>
    </xf>
    <xf numFmtId="1" fontId="26" fillId="0" borderId="51" xfId="0" applyNumberFormat="1" applyFont="1" applyBorder="1" applyAlignment="1">
      <alignment horizontal="center" vertical="center" wrapText="1"/>
    </xf>
    <xf numFmtId="0" fontId="63" fillId="0" borderId="35" xfId="0" applyFont="1" applyBorder="1" applyAlignment="1">
      <alignment horizontal="center" vertical="center"/>
    </xf>
    <xf numFmtId="0" fontId="63" fillId="13" borderId="29" xfId="0" applyFont="1" applyFill="1" applyBorder="1" applyAlignment="1">
      <alignment horizontal="center" vertical="center"/>
    </xf>
    <xf numFmtId="0" fontId="65" fillId="0" borderId="34" xfId="0" applyFont="1" applyBorder="1" applyAlignment="1">
      <alignment horizontal="center" vertical="center"/>
    </xf>
    <xf numFmtId="0" fontId="0" fillId="0" borderId="75" xfId="0" applyBorder="1"/>
    <xf numFmtId="0" fontId="58" fillId="13" borderId="29" xfId="0" applyFont="1" applyFill="1" applyBorder="1" applyAlignment="1">
      <alignment horizontal="center" vertical="center"/>
    </xf>
    <xf numFmtId="0" fontId="55" fillId="13" borderId="80" xfId="0" applyFont="1" applyFill="1" applyBorder="1" applyAlignment="1">
      <alignment horizontal="center" vertical="center"/>
    </xf>
    <xf numFmtId="0" fontId="27" fillId="13" borderId="34" xfId="0" applyFont="1" applyFill="1" applyBorder="1" applyAlignment="1">
      <alignment horizontal="center" vertical="center"/>
    </xf>
    <xf numFmtId="0" fontId="27" fillId="13" borderId="35" xfId="0" applyFont="1" applyFill="1" applyBorder="1" applyAlignment="1">
      <alignment horizontal="center" vertical="center" wrapText="1"/>
    </xf>
    <xf numFmtId="0" fontId="58" fillId="13" borderId="19" xfId="0" applyFont="1" applyFill="1" applyBorder="1" applyAlignment="1">
      <alignment horizontal="center" vertical="center"/>
    </xf>
    <xf numFmtId="0" fontId="0" fillId="0" borderId="74" xfId="0" applyBorder="1"/>
    <xf numFmtId="165" fontId="32" fillId="0" borderId="51" xfId="0" applyNumberFormat="1" applyFont="1" applyBorder="1" applyAlignment="1">
      <alignment horizontal="center" vertical="center" wrapText="1"/>
    </xf>
    <xf numFmtId="0" fontId="58" fillId="13" borderId="35" xfId="0" applyFont="1" applyFill="1" applyBorder="1" applyAlignment="1">
      <alignment horizontal="center" vertical="center" wrapText="1"/>
    </xf>
    <xf numFmtId="0" fontId="27" fillId="13" borderId="35" xfId="0" applyFont="1" applyFill="1" applyBorder="1" applyAlignment="1">
      <alignment horizontal="center" vertical="center"/>
    </xf>
    <xf numFmtId="0" fontId="58" fillId="13" borderId="47" xfId="0" applyFont="1" applyFill="1" applyBorder="1" applyAlignment="1">
      <alignment horizontal="center" vertical="center" wrapText="1"/>
    </xf>
    <xf numFmtId="0" fontId="50" fillId="7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8" fillId="13" borderId="35" xfId="0" applyFont="1" applyFill="1" applyBorder="1" applyAlignment="1">
      <alignment horizontal="center" vertical="center"/>
    </xf>
    <xf numFmtId="1" fontId="26" fillId="0" borderId="51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6" fillId="0" borderId="30" xfId="0" applyFont="1" applyBorder="1" applyAlignment="1">
      <alignment horizontal="left"/>
    </xf>
    <xf numFmtId="0" fontId="26" fillId="0" borderId="0" xfId="0" applyFont="1" applyAlignment="1">
      <alignment horizontal="left" vertical="center"/>
    </xf>
    <xf numFmtId="0" fontId="27" fillId="0" borderId="17" xfId="0" applyFont="1" applyBorder="1" applyAlignment="1">
      <alignment horizontal="center" vertical="center" wrapText="1"/>
    </xf>
    <xf numFmtId="0" fontId="25" fillId="8" borderId="0" xfId="0" applyFont="1" applyFill="1" applyAlignment="1">
      <alignment horizontal="center" vertical="center" wrapText="1"/>
    </xf>
    <xf numFmtId="0" fontId="24" fillId="0" borderId="11" xfId="0" applyFont="1" applyBorder="1" applyAlignment="1">
      <alignment horizontal="left" vertical="center" wrapText="1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left" vertical="center"/>
    </xf>
    <xf numFmtId="1" fontId="26" fillId="0" borderId="17" xfId="0" applyNumberFormat="1" applyFont="1" applyBorder="1" applyAlignment="1">
      <alignment horizontal="center" vertical="center" wrapText="1"/>
    </xf>
    <xf numFmtId="165" fontId="32" fillId="0" borderId="17" xfId="0" applyNumberFormat="1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/>
    </xf>
    <xf numFmtId="1" fontId="26" fillId="0" borderId="17" xfId="0" applyNumberFormat="1" applyFont="1" applyBorder="1" applyAlignment="1">
      <alignment horizontal="center" vertical="center"/>
    </xf>
    <xf numFmtId="165" fontId="33" fillId="0" borderId="17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 applyAlignment="1">
      <alignment horizontal="left"/>
    </xf>
  </cellXfs>
  <cellStyles count="6">
    <cellStyle name="Normální" xfId="0" builtinId="0"/>
    <cellStyle name="Normální 2" xfId="2" xr:uid="{00000000-0005-0000-0000-000002000000}"/>
    <cellStyle name="Normální 3" xfId="4" xr:uid="{00000000-0005-0000-0000-000004000000}"/>
    <cellStyle name="Normální 4" xfId="5" xr:uid="{00000000-0005-0000-0000-000005000000}"/>
    <cellStyle name="normální_Aut. sčítání pohybů" xfId="1" xr:uid="{00000000-0005-0000-0000-000001000000}"/>
    <cellStyle name="normální_List1" xfId="3" xr:uid="{00000000-0005-0000-0000-000003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vertAlign val="baseline"/>
        <sz val="10"/>
        <color auto="1"/>
        <name val="Calibri"/>
        <scheme val="minor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 
v závislosti na vynakládané svalové síle   
PHK</a:t>
            </a:r>
          </a:p>
        </c:rich>
      </c:tx>
      <c:layout>
        <c:manualLayout>
          <c:xMode val="edge"/>
          <c:yMode val="edge"/>
          <c:x val="0.22228724604947861"/>
          <c:y val="1.486530605677061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975140540009595"/>
          <c:y val="0.17006119963672389"/>
          <c:w val="0.75743260590500627"/>
          <c:h val="0.67068863732458972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'Pracovník A'!$R$66:$R$112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'Pracovník A'!$S$66:$S$112</c:f>
              <c:numCache>
                <c:formatCode>0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  <c:pt idx="24">
                  <c:v>6900</c:v>
                </c:pt>
                <c:pt idx="25">
                  <c:v>6600</c:v>
                </c:pt>
                <c:pt idx="26">
                  <c:v>6300</c:v>
                </c:pt>
                <c:pt idx="27">
                  <c:v>6000</c:v>
                </c:pt>
                <c:pt idx="28">
                  <c:v>5800</c:v>
                </c:pt>
                <c:pt idx="29">
                  <c:v>5600</c:v>
                </c:pt>
                <c:pt idx="30">
                  <c:v>5400</c:v>
                </c:pt>
                <c:pt idx="31">
                  <c:v>5200</c:v>
                </c:pt>
                <c:pt idx="32">
                  <c:v>5000</c:v>
                </c:pt>
                <c:pt idx="33">
                  <c:v>4800</c:v>
                </c:pt>
                <c:pt idx="34">
                  <c:v>4600</c:v>
                </c:pt>
                <c:pt idx="35">
                  <c:v>4400</c:v>
                </c:pt>
                <c:pt idx="36">
                  <c:v>4200</c:v>
                </c:pt>
                <c:pt idx="37">
                  <c:v>4000</c:v>
                </c:pt>
                <c:pt idx="38">
                  <c:v>3800</c:v>
                </c:pt>
                <c:pt idx="39">
                  <c:v>3600</c:v>
                </c:pt>
                <c:pt idx="40">
                  <c:v>3400</c:v>
                </c:pt>
                <c:pt idx="41">
                  <c:v>3200</c:v>
                </c:pt>
                <c:pt idx="42">
                  <c:v>3000</c:v>
                </c:pt>
                <c:pt idx="43">
                  <c:v>2700</c:v>
                </c:pt>
                <c:pt idx="44">
                  <c:v>2400</c:v>
                </c:pt>
                <c:pt idx="45">
                  <c:v>2100</c:v>
                </c:pt>
                <c:pt idx="46">
                  <c:v>1800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EE-40C2-868E-9A93D4488077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  <a:sp3d/>
            </c:spPr>
          </c:marker>
          <c:xVal>
            <c:numRef>
              <c:f>'Pracovník A'!$G$89</c:f>
              <c:numCache>
                <c:formatCode>0.0</c:formatCode>
                <c:ptCount val="1"/>
                <c:pt idx="0">
                  <c:v>9.3000000000000007</c:v>
                </c:pt>
              </c:numCache>
            </c:numRef>
          </c:xVal>
          <c:yVal>
            <c:numRef>
              <c:f>'Pracovník A'!$I$89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EE-40C2-868E-9A93D4488077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  <a:sp3d/>
            </c:spPr>
          </c:marker>
          <c:xVal>
            <c:numRef>
              <c:f>'Pracovník A'!$H$89</c:f>
              <c:numCache>
                <c:formatCode>0.0</c:formatCode>
                <c:ptCount val="1"/>
                <c:pt idx="0">
                  <c:v>6</c:v>
                </c:pt>
              </c:numCache>
            </c:numRef>
          </c:xVal>
          <c:yVal>
            <c:numRef>
              <c:f>'Pracovník A'!$I$89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EE-40C2-868E-9A93D4488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17888"/>
        <c:axId val="209732736"/>
      </c:scatterChart>
      <c:valAx>
        <c:axId val="20971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9732736"/>
        <c:crosses val="autoZero"/>
        <c:crossBetween val="midCat"/>
      </c:valAx>
      <c:valAx>
        <c:axId val="2097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700" b="0" i="0" baseline="0">
                    <a:solidFill>
                      <a:sysClr val="windowText" lastClr="000000"/>
                    </a:solidFill>
                  </a:rPr>
                  <a:t>četnost pohybů/ doba výkonu práce</a:t>
                </a:r>
              </a:p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None</a:t>
                </a:r>
                <a:endParaRPr lang="en-US" sz="700" b="0" i="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55882352941182E-2"/>
              <c:y val="0.22902670940170941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971788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54324347454000854"/>
          <c:y val="0.16615224224541711"/>
          <c:w val="0.42671088289830272"/>
          <c:h val="0.1783836726812473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
v závislosti na vynakládané svalové síle  
LHK</a:t>
            </a:r>
          </a:p>
        </c:rich>
      </c:tx>
      <c:layout>
        <c:manualLayout>
          <c:xMode val="edge"/>
          <c:yMode val="edge"/>
          <c:x val="0.22228724604947861"/>
          <c:y val="1.486530605677061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2133497265880249"/>
          <c:y val="0.16499536529872749"/>
          <c:w val="0.7415242045279099"/>
          <c:h val="0.66531683539557551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'Pracovník A'!$R$66:$R$112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'Pracovník A'!$T$66:$T$112</c:f>
              <c:numCache>
                <c:formatCode>0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  <c:pt idx="24">
                  <c:v>6900</c:v>
                </c:pt>
                <c:pt idx="25">
                  <c:v>6600</c:v>
                </c:pt>
                <c:pt idx="26">
                  <c:v>6300</c:v>
                </c:pt>
                <c:pt idx="27">
                  <c:v>6000</c:v>
                </c:pt>
                <c:pt idx="28">
                  <c:v>5800</c:v>
                </c:pt>
                <c:pt idx="29">
                  <c:v>5600</c:v>
                </c:pt>
                <c:pt idx="30">
                  <c:v>5400</c:v>
                </c:pt>
                <c:pt idx="31">
                  <c:v>5200</c:v>
                </c:pt>
                <c:pt idx="32">
                  <c:v>5000</c:v>
                </c:pt>
                <c:pt idx="33">
                  <c:v>4800</c:v>
                </c:pt>
                <c:pt idx="34">
                  <c:v>4600</c:v>
                </c:pt>
                <c:pt idx="35">
                  <c:v>4400</c:v>
                </c:pt>
                <c:pt idx="36">
                  <c:v>4200</c:v>
                </c:pt>
                <c:pt idx="37">
                  <c:v>4000</c:v>
                </c:pt>
                <c:pt idx="38">
                  <c:v>3800</c:v>
                </c:pt>
                <c:pt idx="39">
                  <c:v>3600</c:v>
                </c:pt>
                <c:pt idx="40">
                  <c:v>3400</c:v>
                </c:pt>
                <c:pt idx="41">
                  <c:v>3200</c:v>
                </c:pt>
                <c:pt idx="42">
                  <c:v>3000</c:v>
                </c:pt>
                <c:pt idx="43">
                  <c:v>2700</c:v>
                </c:pt>
                <c:pt idx="44">
                  <c:v>2400</c:v>
                </c:pt>
                <c:pt idx="45">
                  <c:v>2100</c:v>
                </c:pt>
                <c:pt idx="46">
                  <c:v>1800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F9-4252-BA0A-8D9A6332DE73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  <a:sp3d/>
            </c:spPr>
          </c:marker>
          <c:xVal>
            <c:numRef>
              <c:f>'Pracovník A'!$M$89</c:f>
              <c:numCache>
                <c:formatCode>#,##0.0</c:formatCode>
                <c:ptCount val="1"/>
                <c:pt idx="0">
                  <c:v>7.2</c:v>
                </c:pt>
              </c:numCache>
            </c:numRef>
          </c:xVal>
          <c:yVal>
            <c:numRef>
              <c:f>'Pracovník A'!$O$89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F9-4252-BA0A-8D9A6332DE73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  <a:sp3d/>
            </c:spPr>
          </c:marker>
          <c:xVal>
            <c:numRef>
              <c:f>'Pracovník A'!$N$89</c:f>
              <c:numCache>
                <c:formatCode>#,##0.0</c:formatCode>
                <c:ptCount val="1"/>
                <c:pt idx="0">
                  <c:v>1.2</c:v>
                </c:pt>
              </c:numCache>
            </c:numRef>
          </c:xVal>
          <c:yVal>
            <c:numRef>
              <c:f>'Pracovník A'!$O$89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F9-4252-BA0A-8D9A6332D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90304"/>
        <c:axId val="220692864"/>
      </c:scatterChart>
      <c:valAx>
        <c:axId val="22069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0692864"/>
        <c:crosses val="autoZero"/>
        <c:crossBetween val="midCat"/>
      </c:valAx>
      <c:valAx>
        <c:axId val="22069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700" b="0" i="0" baseline="0">
                    <a:solidFill>
                      <a:sysClr val="windowText" lastClr="000000"/>
                    </a:solidFill>
                  </a:rPr>
                  <a:t>četnost pohybů/ doba výkonu práce</a:t>
                </a:r>
                <a:endParaRPr lang="en-US" sz="700" baseline="0">
                  <a:solidFill>
                    <a:sysClr val="windowText" lastClr="000000"/>
                  </a:solidFill>
                </a:endParaRPr>
              </a:p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None</a:t>
                </a:r>
                <a:endParaRPr lang="en-US" sz="70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408169934640519E-2"/>
              <c:y val="0.2228668091168090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06903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55230067037512476"/>
          <c:y val="0.16615224224541711"/>
          <c:w val="0.4176536870631864"/>
          <c:h val="0.1783836726812473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369165431018369"/>
          <c:y val="4.0711128105143359E-2"/>
          <c:w val="0.82277978493408621"/>
          <c:h val="0.87255565835249249"/>
        </c:manualLayout>
      </c:layout>
      <c:scatterChart>
        <c:scatterStyle val="smoothMarker"/>
        <c:varyColors val="0"/>
        <c:ser>
          <c:idx val="0"/>
          <c:order val="0"/>
          <c:tx>
            <c:v>Hygienický limit LSZ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'Grafy - 8 hod. (s)'!$A$3:$A$49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xVal>
          <c:yVal>
            <c:numRef>
              <c:f>'Grafy - 8 hod. (s)'!$B$3:$B$49</c:f>
              <c:numCache>
                <c:formatCode>General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DF-4356-900F-05192BA1A2D7}"/>
            </c:ext>
          </c:extLst>
        </c:ser>
        <c:ser>
          <c:idx val="1"/>
          <c:order val="1"/>
          <c:tx>
            <c:v>Extenzory PHK</c:v>
          </c:tx>
          <c:spPr>
            <a:ln w="28575">
              <a:noFill/>
              <a:prstDash val="solid"/>
            </a:ln>
          </c:spPr>
          <c:marker>
            <c:symbol val="circle"/>
            <c:size val="12"/>
            <c:spPr>
              <a:solidFill>
                <a:schemeClr val="bg1"/>
              </a:solidFill>
              <a:ln w="28575" cap="rnd">
                <a:solidFill>
                  <a:schemeClr val="tx1"/>
                </a:solidFill>
                <a:prstDash val="solid"/>
                <a:round/>
                <a:tailEnd w="sm" len="sm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44DF-4356-900F-05192BA1A2D7}"/>
              </c:ext>
            </c:extLst>
          </c:dPt>
          <c:xVal>
            <c:numRef>
              <c:f>'Grafy - 8 hod. (s)'!$D$6</c:f>
              <c:numCache>
                <c:formatCode>0.0</c:formatCode>
                <c:ptCount val="1"/>
                <c:pt idx="0">
                  <c:v>9.3000000000000007</c:v>
                </c:pt>
              </c:numCache>
            </c:numRef>
          </c:xVal>
          <c:yVal>
            <c:numRef>
              <c:f>'Grafy - 8 hod. (s)'!$D$7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DF-4356-900F-05192BA1A2D7}"/>
            </c:ext>
          </c:extLst>
        </c:ser>
        <c:ser>
          <c:idx val="2"/>
          <c:order val="2"/>
          <c:tx>
            <c:v>Flexory PHK</c:v>
          </c:tx>
          <c:spPr>
            <a:ln w="28575">
              <a:noFill/>
              <a:prstDash val="solid"/>
            </a:ln>
          </c:spPr>
          <c:marker>
            <c:symbol val="circle"/>
            <c:size val="12"/>
            <c:spPr>
              <a:solidFill>
                <a:srgbClr val="FFC000"/>
              </a:solidFill>
              <a:ln w="28575" cap="rnd" cmpd="sng">
                <a:solidFill>
                  <a:schemeClr val="tx1"/>
                </a:solidFill>
                <a:prstDash val="solid"/>
                <a:round/>
              </a:ln>
            </c:spPr>
          </c:marker>
          <c:xVal>
            <c:numRef>
              <c:f>'Grafy - 8 hod. (s)'!$E$6</c:f>
              <c:numCache>
                <c:formatCode>0.0</c:formatCode>
                <c:ptCount val="1"/>
                <c:pt idx="0">
                  <c:v>6</c:v>
                </c:pt>
              </c:numCache>
            </c:numRef>
          </c:xVal>
          <c:yVal>
            <c:numRef>
              <c:f>'Grafy - 8 hod. (s)'!$D$7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DF-4356-900F-05192BA1A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22144"/>
        <c:axId val="220424064"/>
      </c:scatterChart>
      <c:valAx>
        <c:axId val="220422144"/>
        <c:scaling>
          <c:orientation val="minMax"/>
          <c:max val="3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20424064"/>
        <c:crosses val="autoZero"/>
        <c:crossBetween val="midCat"/>
        <c:majorUnit val="5"/>
      </c:valAx>
      <c:valAx>
        <c:axId val="22042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20422144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noFill/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369165198537145"/>
          <c:y val="4.0711142548551328E-2"/>
          <c:w val="0.82277978493408621"/>
          <c:h val="0.87255565835249249"/>
        </c:manualLayout>
      </c:layout>
      <c:scatterChart>
        <c:scatterStyle val="smoothMarker"/>
        <c:varyColors val="0"/>
        <c:ser>
          <c:idx val="0"/>
          <c:order val="0"/>
          <c:tx>
            <c:v>Hygienický limit LSZ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'Grafy - 8 hod. (s)'!$A$3:$A$49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xVal>
          <c:yVal>
            <c:numRef>
              <c:f>'Grafy - 8 hod. (s)'!$B$3:$B$49</c:f>
              <c:numCache>
                <c:formatCode>General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9E-4195-B712-CDD82AFC7A05}"/>
            </c:ext>
          </c:extLst>
        </c:ser>
        <c:ser>
          <c:idx val="1"/>
          <c:order val="1"/>
          <c:tx>
            <c:v>Extenzory LHK</c:v>
          </c:tx>
          <c:spPr>
            <a:ln w="19050" cap="rnd">
              <a:solidFill>
                <a:schemeClr val="bg1"/>
              </a:solidFill>
              <a:prstDash val="solid"/>
              <a:round/>
              <a:headEnd/>
              <a:tailEnd/>
            </a:ln>
          </c:spPr>
          <c:marker>
            <c:symbol val="circle"/>
            <c:size val="12"/>
            <c:spPr>
              <a:solidFill>
                <a:schemeClr val="bg1"/>
              </a:solidFill>
              <a:ln w="28575" cap="sq" cmpd="sng">
                <a:solidFill>
                  <a:schemeClr val="tx1"/>
                </a:solidFill>
                <a:prstDash val="solid"/>
              </a:ln>
            </c:spPr>
          </c:marker>
          <c:xVal>
            <c:numRef>
              <c:f>'Grafy - 8 hod. (s)'!$D$10</c:f>
              <c:numCache>
                <c:formatCode>0.0</c:formatCode>
                <c:ptCount val="1"/>
                <c:pt idx="0">
                  <c:v>7.2</c:v>
                </c:pt>
              </c:numCache>
            </c:numRef>
          </c:xVal>
          <c:yVal>
            <c:numRef>
              <c:f>'Grafy - 8 hod. (s)'!$D$11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9E-4195-B712-CDD82AFC7A05}"/>
            </c:ext>
          </c:extLst>
        </c:ser>
        <c:ser>
          <c:idx val="2"/>
          <c:order val="2"/>
          <c:tx>
            <c:v>Flexory LHK</c:v>
          </c:tx>
          <c:spPr>
            <a:ln w="28575">
              <a:noFill/>
              <a:prstDash val="solid"/>
            </a:ln>
          </c:spPr>
          <c:marker>
            <c:symbol val="circle"/>
            <c:size val="12"/>
            <c:spPr>
              <a:solidFill>
                <a:srgbClr val="FFC000"/>
              </a:solidFill>
              <a:ln w="28575" cap="sq" cmpd="sng">
                <a:solidFill>
                  <a:schemeClr val="tx1"/>
                </a:solidFill>
                <a:prstDash val="solid"/>
                <a:round/>
                <a:headEnd w="med" len="med"/>
                <a:tailEnd w="med" len="med"/>
              </a:ln>
            </c:spPr>
          </c:marker>
          <c:xVal>
            <c:numRef>
              <c:f>'Grafy - 8 hod. (s)'!$E$10</c:f>
              <c:numCache>
                <c:formatCode>0.0</c:formatCode>
                <c:ptCount val="1"/>
                <c:pt idx="0">
                  <c:v>1.2</c:v>
                </c:pt>
              </c:numCache>
            </c:numRef>
          </c:xVal>
          <c:yVal>
            <c:numRef>
              <c:f>'Grafy - 8 hod. (s)'!$D$11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9E-4195-B712-CDD82AFC7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52736"/>
        <c:axId val="220463104"/>
      </c:scatterChart>
      <c:valAx>
        <c:axId val="220452736"/>
        <c:scaling>
          <c:orientation val="minMax"/>
          <c:max val="3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20463104"/>
        <c:crosses val="autoZero"/>
        <c:crossBetween val="midCat"/>
        <c:majorUnit val="5"/>
      </c:valAx>
      <c:valAx>
        <c:axId val="22046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2045273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noFill/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369165431018369"/>
          <c:y val="4.0711128105143359E-2"/>
          <c:w val="0.82277978493408621"/>
          <c:h val="0.87255565835249249"/>
        </c:manualLayout>
      </c:layout>
      <c:scatterChart>
        <c:scatterStyle val="smoothMarker"/>
        <c:varyColors val="0"/>
        <c:ser>
          <c:idx val="0"/>
          <c:order val="0"/>
          <c:tx>
            <c:v>Hygienický limit LSZ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'Grafy - 8 hod. (ks)'!$A$3:$A$49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xVal>
          <c:yVal>
            <c:numRef>
              <c:f>'Grafy - 8 hod. (ks)'!$B$3:$B$49</c:f>
              <c:numCache>
                <c:formatCode>General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5B-45E2-8E2C-7278D485014F}"/>
            </c:ext>
          </c:extLst>
        </c:ser>
        <c:ser>
          <c:idx val="1"/>
          <c:order val="1"/>
          <c:tx>
            <c:v>Extenzory PHK</c:v>
          </c:tx>
          <c:spPr>
            <a:ln w="28575">
              <a:noFill/>
              <a:prstDash val="solid"/>
            </a:ln>
          </c:spPr>
          <c:marker>
            <c:symbol val="circle"/>
            <c:size val="12"/>
            <c:spPr>
              <a:solidFill>
                <a:schemeClr val="bg1"/>
              </a:solidFill>
              <a:ln w="28575" cap="rnd">
                <a:solidFill>
                  <a:schemeClr val="tx1"/>
                </a:solidFill>
                <a:prstDash val="solid"/>
                <a:round/>
                <a:tailEnd w="sm" len="sm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AE5B-45E2-8E2C-7278D485014F}"/>
              </c:ext>
            </c:extLst>
          </c:dPt>
          <c:xVal>
            <c:numRef>
              <c:f>'Grafy - 8 hod. (ks)'!$D$6</c:f>
              <c:numCache>
                <c:formatCode>0.0</c:formatCode>
                <c:ptCount val="1"/>
                <c:pt idx="0">
                  <c:v>9.3000000000000007</c:v>
                </c:pt>
              </c:numCache>
            </c:numRef>
          </c:xVal>
          <c:yVal>
            <c:numRef>
              <c:f>'Grafy - 8 hod. (ks)'!$D$7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5B-45E2-8E2C-7278D485014F}"/>
            </c:ext>
          </c:extLst>
        </c:ser>
        <c:ser>
          <c:idx val="2"/>
          <c:order val="2"/>
          <c:tx>
            <c:v>Flexory PHK</c:v>
          </c:tx>
          <c:spPr>
            <a:ln w="28575">
              <a:noFill/>
              <a:prstDash val="solid"/>
            </a:ln>
          </c:spPr>
          <c:marker>
            <c:symbol val="circle"/>
            <c:size val="12"/>
            <c:spPr>
              <a:solidFill>
                <a:srgbClr val="FFC000"/>
              </a:solidFill>
              <a:ln w="28575" cap="rnd" cmpd="sng">
                <a:solidFill>
                  <a:schemeClr val="tx1"/>
                </a:solidFill>
                <a:prstDash val="solid"/>
                <a:round/>
              </a:ln>
            </c:spPr>
          </c:marker>
          <c:xVal>
            <c:numRef>
              <c:f>'Grafy - 8 hod. (ks)'!$E$6</c:f>
              <c:numCache>
                <c:formatCode>0.0</c:formatCode>
                <c:ptCount val="1"/>
                <c:pt idx="0">
                  <c:v>6</c:v>
                </c:pt>
              </c:numCache>
            </c:numRef>
          </c:xVal>
          <c:yVal>
            <c:numRef>
              <c:f>'Grafy - 8 hod. (ks)'!$D$7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5B-45E2-8E2C-7278D4850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23552"/>
        <c:axId val="220825472"/>
      </c:scatterChart>
      <c:valAx>
        <c:axId val="220823552"/>
        <c:scaling>
          <c:orientation val="minMax"/>
          <c:max val="3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20825472"/>
        <c:crosses val="autoZero"/>
        <c:crossBetween val="midCat"/>
        <c:majorUnit val="5"/>
      </c:valAx>
      <c:valAx>
        <c:axId val="22082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20823552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noFill/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369165198537145"/>
          <c:y val="4.0711142548551328E-2"/>
          <c:w val="0.82277978493408621"/>
          <c:h val="0.87255565835249249"/>
        </c:manualLayout>
      </c:layout>
      <c:scatterChart>
        <c:scatterStyle val="smoothMarker"/>
        <c:varyColors val="0"/>
        <c:ser>
          <c:idx val="0"/>
          <c:order val="0"/>
          <c:tx>
            <c:v>Hygienický limit LSZ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'Grafy - 8 hod. (ks)'!$A$3:$A$49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xVal>
          <c:yVal>
            <c:numRef>
              <c:f>'Grafy - 8 hod. (ks)'!$B$3:$B$49</c:f>
              <c:numCache>
                <c:formatCode>General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CF-474D-AD62-688CC1F844FB}"/>
            </c:ext>
          </c:extLst>
        </c:ser>
        <c:ser>
          <c:idx val="1"/>
          <c:order val="1"/>
          <c:tx>
            <c:v>Extenzory LHK</c:v>
          </c:tx>
          <c:spPr>
            <a:ln w="19050" cap="rnd">
              <a:solidFill>
                <a:schemeClr val="bg1"/>
              </a:solidFill>
              <a:prstDash val="solid"/>
              <a:round/>
              <a:headEnd/>
              <a:tailEnd/>
            </a:ln>
          </c:spPr>
          <c:marker>
            <c:symbol val="circle"/>
            <c:size val="12"/>
            <c:spPr>
              <a:solidFill>
                <a:schemeClr val="bg1"/>
              </a:solidFill>
              <a:ln w="28575" cap="sq" cmpd="sng">
                <a:solidFill>
                  <a:schemeClr val="tx1"/>
                </a:solidFill>
                <a:prstDash val="solid"/>
              </a:ln>
            </c:spPr>
          </c:marker>
          <c:xVal>
            <c:numRef>
              <c:f>'Grafy - 8 hod. (ks)'!$D$10</c:f>
              <c:numCache>
                <c:formatCode>0.0</c:formatCode>
                <c:ptCount val="1"/>
                <c:pt idx="0">
                  <c:v>7.2</c:v>
                </c:pt>
              </c:numCache>
            </c:numRef>
          </c:xVal>
          <c:yVal>
            <c:numRef>
              <c:f>'Grafy - 8 hod. (ks)'!$D$11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CF-474D-AD62-688CC1F844FB}"/>
            </c:ext>
          </c:extLst>
        </c:ser>
        <c:ser>
          <c:idx val="2"/>
          <c:order val="2"/>
          <c:tx>
            <c:v>Flexory LHK</c:v>
          </c:tx>
          <c:spPr>
            <a:ln w="28575">
              <a:noFill/>
              <a:prstDash val="solid"/>
            </a:ln>
          </c:spPr>
          <c:marker>
            <c:symbol val="circle"/>
            <c:size val="12"/>
            <c:spPr>
              <a:solidFill>
                <a:srgbClr val="FFC000"/>
              </a:solidFill>
              <a:ln w="28575" cap="sq" cmpd="sng">
                <a:solidFill>
                  <a:schemeClr val="tx1"/>
                </a:solidFill>
                <a:prstDash val="solid"/>
                <a:round/>
                <a:headEnd w="med" len="med"/>
                <a:tailEnd w="med" len="med"/>
              </a:ln>
            </c:spPr>
          </c:marker>
          <c:xVal>
            <c:numRef>
              <c:f>'Grafy - 8 hod. (ks)'!$E$10</c:f>
              <c:numCache>
                <c:formatCode>0.0</c:formatCode>
                <c:ptCount val="1"/>
                <c:pt idx="0">
                  <c:v>1.2</c:v>
                </c:pt>
              </c:numCache>
            </c:numRef>
          </c:xVal>
          <c:yVal>
            <c:numRef>
              <c:f>'Grafy - 8 hod. (ks)'!$D$11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CF-474D-AD62-688CC1F84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2496"/>
        <c:axId val="207892864"/>
      </c:scatterChart>
      <c:valAx>
        <c:axId val="207882496"/>
        <c:scaling>
          <c:orientation val="minMax"/>
          <c:max val="3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07892864"/>
        <c:crosses val="autoZero"/>
        <c:crossBetween val="midCat"/>
        <c:majorUnit val="5"/>
      </c:valAx>
      <c:valAx>
        <c:axId val="20789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0788249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noFill/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 
v závislosti na vynakládané svalové síle   
PHK</a:t>
            </a:r>
          </a:p>
        </c:rich>
      </c:tx>
      <c:layout>
        <c:manualLayout>
          <c:xMode val="edge"/>
          <c:yMode val="edge"/>
          <c:x val="0.22228724604947861"/>
          <c:y val="1.486530605677061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9751390671801461"/>
          <c:y val="0.17006118915986559"/>
          <c:w val="0.75743260590500627"/>
          <c:h val="0.67068863732458972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'Pracovník B'!$R$66:$R$112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'Pracovník B'!$S$66:$S$112</c:f>
              <c:numCache>
                <c:formatCode>0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  <c:pt idx="24">
                  <c:v>6900</c:v>
                </c:pt>
                <c:pt idx="25">
                  <c:v>6600</c:v>
                </c:pt>
                <c:pt idx="26">
                  <c:v>6300</c:v>
                </c:pt>
                <c:pt idx="27">
                  <c:v>6000</c:v>
                </c:pt>
                <c:pt idx="28">
                  <c:v>5800</c:v>
                </c:pt>
                <c:pt idx="29">
                  <c:v>5600</c:v>
                </c:pt>
                <c:pt idx="30">
                  <c:v>5400</c:v>
                </c:pt>
                <c:pt idx="31">
                  <c:v>5200</c:v>
                </c:pt>
                <c:pt idx="32">
                  <c:v>5000</c:v>
                </c:pt>
                <c:pt idx="33">
                  <c:v>4800</c:v>
                </c:pt>
                <c:pt idx="34">
                  <c:v>4600</c:v>
                </c:pt>
                <c:pt idx="35">
                  <c:v>4400</c:v>
                </c:pt>
                <c:pt idx="36">
                  <c:v>4200</c:v>
                </c:pt>
                <c:pt idx="37">
                  <c:v>4000</c:v>
                </c:pt>
                <c:pt idx="38">
                  <c:v>3800</c:v>
                </c:pt>
                <c:pt idx="39">
                  <c:v>3600</c:v>
                </c:pt>
                <c:pt idx="40">
                  <c:v>3400</c:v>
                </c:pt>
                <c:pt idx="41">
                  <c:v>3200</c:v>
                </c:pt>
                <c:pt idx="42">
                  <c:v>3000</c:v>
                </c:pt>
                <c:pt idx="43">
                  <c:v>2700</c:v>
                </c:pt>
                <c:pt idx="44">
                  <c:v>2400</c:v>
                </c:pt>
                <c:pt idx="45">
                  <c:v>2100</c:v>
                </c:pt>
                <c:pt idx="46">
                  <c:v>1800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16-4603-B0D4-B12AA187CD6D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  <a:sp3d/>
            </c:spPr>
          </c:marker>
          <c:xVal>
            <c:numRef>
              <c:f>'Pracovník B'!$G$89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'Pracovník B'!$I$89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16-4603-B0D4-B12AA187CD6D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  <a:sp3d/>
            </c:spPr>
          </c:marker>
          <c:xVal>
            <c:numRef>
              <c:f>'Pracovník B'!$H$89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'Pracovník B'!$I$89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16-4603-B0D4-B12AA187C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09984"/>
        <c:axId val="221612288"/>
      </c:scatterChart>
      <c:valAx>
        <c:axId val="22160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612288"/>
        <c:crosses val="autoZero"/>
        <c:crossBetween val="midCat"/>
      </c:valAx>
      <c:valAx>
        <c:axId val="22161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</a:rPr>
                  <a:t>četnost pohybů/ doba výkonu práce</a:t>
                </a:r>
              </a:p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cs-CZ" sz="700" b="0" i="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55882352941182E-2"/>
              <c:y val="0.22902670940170941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6099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54324347454000854"/>
          <c:y val="0.16615224224541711"/>
          <c:w val="0.42671088289830272"/>
          <c:h val="0.1783836726812473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
v závislosti na vynakládané svalové síle  
LHK</a:t>
            </a:r>
          </a:p>
        </c:rich>
      </c:tx>
      <c:layout>
        <c:manualLayout>
          <c:xMode val="edge"/>
          <c:yMode val="edge"/>
          <c:x val="0.22228724604947861"/>
          <c:y val="1.486530605677061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21334968489901329"/>
          <c:y val="0.16499533303017971"/>
          <c:w val="0.7415242045279099"/>
          <c:h val="0.66531683539557551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'Pracovník B'!$R$66:$R$112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'Pracovník B'!$T$66:$T$112</c:f>
              <c:numCache>
                <c:formatCode>0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  <c:pt idx="24">
                  <c:v>6900</c:v>
                </c:pt>
                <c:pt idx="25">
                  <c:v>6600</c:v>
                </c:pt>
                <c:pt idx="26">
                  <c:v>6300</c:v>
                </c:pt>
                <c:pt idx="27">
                  <c:v>6000</c:v>
                </c:pt>
                <c:pt idx="28">
                  <c:v>5800</c:v>
                </c:pt>
                <c:pt idx="29">
                  <c:v>5600</c:v>
                </c:pt>
                <c:pt idx="30">
                  <c:v>5400</c:v>
                </c:pt>
                <c:pt idx="31">
                  <c:v>5200</c:v>
                </c:pt>
                <c:pt idx="32">
                  <c:v>5000</c:v>
                </c:pt>
                <c:pt idx="33">
                  <c:v>4800</c:v>
                </c:pt>
                <c:pt idx="34">
                  <c:v>4600</c:v>
                </c:pt>
                <c:pt idx="35">
                  <c:v>4400</c:v>
                </c:pt>
                <c:pt idx="36">
                  <c:v>4200</c:v>
                </c:pt>
                <c:pt idx="37">
                  <c:v>4000</c:v>
                </c:pt>
                <c:pt idx="38">
                  <c:v>3800</c:v>
                </c:pt>
                <c:pt idx="39">
                  <c:v>3600</c:v>
                </c:pt>
                <c:pt idx="40">
                  <c:v>3400</c:v>
                </c:pt>
                <c:pt idx="41">
                  <c:v>3200</c:v>
                </c:pt>
                <c:pt idx="42">
                  <c:v>3000</c:v>
                </c:pt>
                <c:pt idx="43">
                  <c:v>2700</c:v>
                </c:pt>
                <c:pt idx="44">
                  <c:v>2400</c:v>
                </c:pt>
                <c:pt idx="45">
                  <c:v>2100</c:v>
                </c:pt>
                <c:pt idx="46">
                  <c:v>1800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D9-4EC6-9A57-925080D9DEB5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  <a:sp3d/>
            </c:spPr>
          </c:marker>
          <c:xVal>
            <c:numRef>
              <c:f>'Pracovník B'!$M$89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'Pracovník B'!$O$89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D9-4EC6-9A57-925080D9DEB5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  <a:sp3d/>
            </c:spPr>
          </c:marker>
          <c:xVal>
            <c:numRef>
              <c:f>'Pracovník B'!$N$89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'Pracovník B'!$O$89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D9-4EC6-9A57-925080D9D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52320"/>
        <c:axId val="221754880"/>
      </c:scatterChart>
      <c:valAx>
        <c:axId val="22175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754880"/>
        <c:crosses val="autoZero"/>
        <c:crossBetween val="midCat"/>
      </c:valAx>
      <c:valAx>
        <c:axId val="22175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</a:rPr>
                  <a:t>četnost pohybů/ doba výkonu práce</a:t>
                </a:r>
                <a:endParaRPr lang="cs-CZ" sz="700" baseline="0">
                  <a:solidFill>
                    <a:sysClr val="windowText" lastClr="000000"/>
                  </a:solidFill>
                </a:endParaRPr>
              </a:p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cs-CZ" sz="70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408169934640519E-2"/>
              <c:y val="0.2228668091168090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75232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55230067037512476"/>
          <c:y val="0.16615224224541711"/>
          <c:w val="0.4176536870631864"/>
          <c:h val="0.1783836726812473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 
v závislosti na vynakládané svalové síle   
PHK</a:t>
            </a:r>
          </a:p>
        </c:rich>
      </c:tx>
      <c:layout>
        <c:manualLayout>
          <c:xMode val="edge"/>
          <c:yMode val="edge"/>
          <c:x val="0.22228724604947861"/>
          <c:y val="1.486530605677061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9751390671801461"/>
          <c:y val="0.17006118915986559"/>
          <c:w val="0.75743260590500627"/>
          <c:h val="0.67068863732458972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'Celkové výsledky'!$W$5:$W$51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'Celkové výsledky'!$X$5:$X$51</c:f>
              <c:numCache>
                <c:formatCode>0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  <c:pt idx="24">
                  <c:v>6900</c:v>
                </c:pt>
                <c:pt idx="25">
                  <c:v>6600</c:v>
                </c:pt>
                <c:pt idx="26">
                  <c:v>6300</c:v>
                </c:pt>
                <c:pt idx="27">
                  <c:v>6000</c:v>
                </c:pt>
                <c:pt idx="28">
                  <c:v>5800</c:v>
                </c:pt>
                <c:pt idx="29">
                  <c:v>5600</c:v>
                </c:pt>
                <c:pt idx="30">
                  <c:v>5400</c:v>
                </c:pt>
                <c:pt idx="31">
                  <c:v>5200</c:v>
                </c:pt>
                <c:pt idx="32">
                  <c:v>5000</c:v>
                </c:pt>
                <c:pt idx="33">
                  <c:v>4800</c:v>
                </c:pt>
                <c:pt idx="34">
                  <c:v>4600</c:v>
                </c:pt>
                <c:pt idx="35">
                  <c:v>4400</c:v>
                </c:pt>
                <c:pt idx="36">
                  <c:v>4200</c:v>
                </c:pt>
                <c:pt idx="37">
                  <c:v>4000</c:v>
                </c:pt>
                <c:pt idx="38">
                  <c:v>3800</c:v>
                </c:pt>
                <c:pt idx="39">
                  <c:v>3600</c:v>
                </c:pt>
                <c:pt idx="40">
                  <c:v>3400</c:v>
                </c:pt>
                <c:pt idx="41">
                  <c:v>3200</c:v>
                </c:pt>
                <c:pt idx="42">
                  <c:v>3000</c:v>
                </c:pt>
                <c:pt idx="43">
                  <c:v>2700</c:v>
                </c:pt>
                <c:pt idx="44">
                  <c:v>2400</c:v>
                </c:pt>
                <c:pt idx="45">
                  <c:v>2100</c:v>
                </c:pt>
                <c:pt idx="46">
                  <c:v>1800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E-4461-9E65-9F9B0A218AE2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  <a:sp3d/>
            </c:spPr>
          </c:marker>
          <c:xVal>
            <c:numRef>
              <c:f>'Celkové výsledky'!$K$45</c:f>
              <c:numCache>
                <c:formatCode>0.0</c:formatCode>
                <c:ptCount val="1"/>
                <c:pt idx="0">
                  <c:v>5.5</c:v>
                </c:pt>
              </c:numCache>
            </c:numRef>
          </c:xVal>
          <c:yVal>
            <c:numRef>
              <c:f>'Celkové výsledky'!$M$45:$N$45</c:f>
              <c:numCache>
                <c:formatCode>General</c:formatCode>
                <c:ptCount val="2"/>
                <c:pt idx="0" formatCode="0">
                  <c:v>20000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BE-4461-9E65-9F9B0A218AE2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  <a:sp3d/>
            </c:spPr>
          </c:marker>
          <c:xVal>
            <c:numRef>
              <c:f>'Celkové výsledky'!$L$45</c:f>
              <c:numCache>
                <c:formatCode>0.0</c:formatCode>
                <c:ptCount val="1"/>
                <c:pt idx="0">
                  <c:v>7.5</c:v>
                </c:pt>
              </c:numCache>
            </c:numRef>
          </c:xVal>
          <c:yVal>
            <c:numRef>
              <c:f>'Celkové výsledky'!$M$45:$N$45</c:f>
              <c:numCache>
                <c:formatCode>General</c:formatCode>
                <c:ptCount val="2"/>
                <c:pt idx="0" formatCode="0">
                  <c:v>20000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BE-4461-9E65-9F9B0A218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71712"/>
        <c:axId val="221848704"/>
      </c:scatterChart>
      <c:valAx>
        <c:axId val="22157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848704"/>
        <c:crosses val="autoZero"/>
        <c:crossBetween val="midCat"/>
      </c:valAx>
      <c:valAx>
        <c:axId val="22184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700" b="0" i="0" baseline="0">
                    <a:solidFill>
                      <a:sysClr val="windowText" lastClr="000000"/>
                    </a:solidFill>
                  </a:rPr>
                  <a:t>četnost pohybů/ doba výkonu práce</a:t>
                </a:r>
              </a:p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None</a:t>
                </a:r>
                <a:endParaRPr lang="en-US" sz="700" b="0" i="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55882352941182E-2"/>
              <c:y val="0.22902670940170941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57171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54324347454000854"/>
          <c:y val="0.16615224224541711"/>
          <c:w val="0.42671088289830272"/>
          <c:h val="0.1783836726812473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
v závislosti na vynakládané svalové síle  
LHK</a:t>
            </a:r>
          </a:p>
        </c:rich>
      </c:tx>
      <c:layout>
        <c:manualLayout>
          <c:xMode val="edge"/>
          <c:yMode val="edge"/>
          <c:x val="0.22228724604947861"/>
          <c:y val="1.486530605677061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21334968489901329"/>
          <c:y val="0.16499533303017971"/>
          <c:w val="0.7415242045279099"/>
          <c:h val="0.66531683539557551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'Celkové výsledky'!$W$5:$W$51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'Celkové výsledky'!$Y$5:$Y$51</c:f>
              <c:numCache>
                <c:formatCode>0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  <c:pt idx="24">
                  <c:v>6900</c:v>
                </c:pt>
                <c:pt idx="25">
                  <c:v>6600</c:v>
                </c:pt>
                <c:pt idx="26">
                  <c:v>6300</c:v>
                </c:pt>
                <c:pt idx="27">
                  <c:v>6000</c:v>
                </c:pt>
                <c:pt idx="28">
                  <c:v>5800</c:v>
                </c:pt>
                <c:pt idx="29">
                  <c:v>5600</c:v>
                </c:pt>
                <c:pt idx="30">
                  <c:v>5400</c:v>
                </c:pt>
                <c:pt idx="31">
                  <c:v>5200</c:v>
                </c:pt>
                <c:pt idx="32">
                  <c:v>5000</c:v>
                </c:pt>
                <c:pt idx="33">
                  <c:v>4800</c:v>
                </c:pt>
                <c:pt idx="34">
                  <c:v>4600</c:v>
                </c:pt>
                <c:pt idx="35">
                  <c:v>4400</c:v>
                </c:pt>
                <c:pt idx="36">
                  <c:v>4200</c:v>
                </c:pt>
                <c:pt idx="37">
                  <c:v>4000</c:v>
                </c:pt>
                <c:pt idx="38">
                  <c:v>3800</c:v>
                </c:pt>
                <c:pt idx="39">
                  <c:v>3600</c:v>
                </c:pt>
                <c:pt idx="40">
                  <c:v>3400</c:v>
                </c:pt>
                <c:pt idx="41">
                  <c:v>3200</c:v>
                </c:pt>
                <c:pt idx="42">
                  <c:v>3000</c:v>
                </c:pt>
                <c:pt idx="43">
                  <c:v>2700</c:v>
                </c:pt>
                <c:pt idx="44">
                  <c:v>2400</c:v>
                </c:pt>
                <c:pt idx="45">
                  <c:v>2100</c:v>
                </c:pt>
                <c:pt idx="46">
                  <c:v>1800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C1E-A4E5-24611C54F7CE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  <a:sp3d/>
            </c:spPr>
          </c:marker>
          <c:xVal>
            <c:numRef>
              <c:f>'Celkové výsledky'!$O$45:$P$45</c:f>
              <c:numCache>
                <c:formatCode>General</c:formatCode>
                <c:ptCount val="2"/>
                <c:pt idx="0" formatCode="0.0">
                  <c:v>4.5</c:v>
                </c:pt>
              </c:numCache>
            </c:numRef>
          </c:xVal>
          <c:yVal>
            <c:numRef>
              <c:f>'Celkové výsledky'!$S$45:$U$45</c:f>
              <c:numCache>
                <c:formatCode>General</c:formatCode>
                <c:ptCount val="3"/>
                <c:pt idx="0" formatCode="0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C1E-A4E5-24611C54F7CE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  <a:sp3d/>
            </c:spPr>
          </c:marker>
          <c:xVal>
            <c:numRef>
              <c:f>'Celkové výsledky'!$Q$45:$R$45</c:f>
              <c:numCache>
                <c:formatCode>General</c:formatCode>
                <c:ptCount val="2"/>
                <c:pt idx="0" formatCode="0.0">
                  <c:v>9</c:v>
                </c:pt>
              </c:numCache>
            </c:numRef>
          </c:xVal>
          <c:yVal>
            <c:numRef>
              <c:f>'Celkové výsledky'!$S$45:$U$45</c:f>
              <c:numCache>
                <c:formatCode>General</c:formatCode>
                <c:ptCount val="3"/>
                <c:pt idx="0" formatCode="0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C1E-A4E5-24611C54F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02112"/>
        <c:axId val="222208768"/>
      </c:scatterChart>
      <c:valAx>
        <c:axId val="22220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208768"/>
        <c:crosses val="autoZero"/>
        <c:crossBetween val="midCat"/>
      </c:valAx>
      <c:valAx>
        <c:axId val="2222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700" b="0" i="0" baseline="0">
                    <a:solidFill>
                      <a:sysClr val="windowText" lastClr="000000"/>
                    </a:solidFill>
                  </a:rPr>
                  <a:t>četnost pohybů/ doba výkonu práce</a:t>
                </a:r>
                <a:endParaRPr lang="en-US" sz="700" baseline="0">
                  <a:solidFill>
                    <a:sysClr val="windowText" lastClr="000000"/>
                  </a:solidFill>
                </a:endParaRPr>
              </a:p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None</a:t>
                </a:r>
                <a:endParaRPr lang="en-US" sz="70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408169934640519E-2"/>
              <c:y val="0.2228668091168090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20211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55230067037512476"/>
          <c:y val="0.16615224224541711"/>
          <c:w val="0.4176536870631864"/>
          <c:h val="0.1783836726812473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 
v závislosti na vynakládané svalové síle   
PHK</a:t>
            </a:r>
          </a:p>
        </c:rich>
      </c:tx>
      <c:layout>
        <c:manualLayout>
          <c:xMode val="edge"/>
          <c:yMode val="edge"/>
          <c:x val="0.22228724604947861"/>
          <c:y val="1.486530605677061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9751390671801461"/>
          <c:y val="0.17006118915986559"/>
          <c:w val="0.75743260590500627"/>
          <c:h val="0.67068863732458972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'Graf-čas-A1'!$O$1:$O$47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'Graf-čas-A1'!$P$1:$P$47</c:f>
              <c:numCache>
                <c:formatCode>0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76-47E4-B7A1-FE796C3B4FA0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  <a:sp3d/>
            </c:spPr>
          </c:marker>
          <c:xVal>
            <c:numRef>
              <c:f>'Graf-čas-A1'!$A$27</c:f>
              <c:numCache>
                <c:formatCode>0.0</c:formatCode>
                <c:ptCount val="1"/>
                <c:pt idx="0">
                  <c:v>9.3000000000000007</c:v>
                </c:pt>
              </c:numCache>
            </c:numRef>
          </c:xVal>
          <c:yVal>
            <c:numRef>
              <c:f>'Graf-čas-A1'!$C$27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76-47E4-B7A1-FE796C3B4FA0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  <a:sp3d/>
            </c:spPr>
          </c:marker>
          <c:xVal>
            <c:numRef>
              <c:f>'Graf-čas-A1'!$B$27</c:f>
              <c:numCache>
                <c:formatCode>0.0</c:formatCode>
                <c:ptCount val="1"/>
                <c:pt idx="0">
                  <c:v>6</c:v>
                </c:pt>
              </c:numCache>
            </c:numRef>
          </c:xVal>
          <c:yVal>
            <c:numRef>
              <c:f>'Graf-čas-A1'!$C$27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76-47E4-B7A1-FE796C3B4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960448"/>
        <c:axId val="221967104"/>
      </c:scatterChart>
      <c:valAx>
        <c:axId val="22196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967104"/>
        <c:crosses val="autoZero"/>
        <c:crossBetween val="midCat"/>
      </c:valAx>
      <c:valAx>
        <c:axId val="2219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</a:rPr>
                  <a:t>četnost pohybů/ doba výkonu práce</a:t>
                </a:r>
              </a:p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cs-CZ" sz="700" b="0" i="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55882352941182E-2"/>
              <c:y val="0.22902670940170941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96044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54324347454000854"/>
          <c:y val="0.16615224224541711"/>
          <c:w val="0.42671088289830272"/>
          <c:h val="0.1783836726812473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
v závislosti na vynakládané svalové síle  
LHK</a:t>
            </a:r>
          </a:p>
        </c:rich>
      </c:tx>
      <c:layout>
        <c:manualLayout>
          <c:xMode val="edge"/>
          <c:yMode val="edge"/>
          <c:x val="0.22228724604947861"/>
          <c:y val="1.486530605677061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21334968489901329"/>
          <c:y val="0.16499533303017971"/>
          <c:w val="0.7415242045279099"/>
          <c:h val="0.66531683539557551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'Graf-čas-A1'!$R$1:$R$51</c:f>
              <c:numCache>
                <c:formatCode>General</c:formatCode>
                <c:ptCount val="51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'Graf-čas-A1'!$S$1:$S$47</c:f>
              <c:numCache>
                <c:formatCode>General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74-4206-B7D8-3A6C58A3D99B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  <a:sp3d/>
            </c:spPr>
          </c:marker>
          <c:xVal>
            <c:numRef>
              <c:f>'Graf-čas-A1'!$E$27:$F$27</c:f>
              <c:numCache>
                <c:formatCode>General</c:formatCode>
                <c:ptCount val="2"/>
                <c:pt idx="0" formatCode="0.0">
                  <c:v>7.2</c:v>
                </c:pt>
              </c:numCache>
            </c:numRef>
          </c:xVal>
          <c:yVal>
            <c:numRef>
              <c:f>'Graf-čas-A1'!$I$27:$K$27</c:f>
              <c:numCache>
                <c:formatCode>General</c:formatCode>
                <c:ptCount val="3"/>
                <c:pt idx="0" formatCode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74-4206-B7D8-3A6C58A3D99B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  <a:sp3d/>
            </c:spPr>
          </c:marker>
          <c:xVal>
            <c:numRef>
              <c:f>'Graf-čas-A1'!$G$27:$H$27</c:f>
              <c:numCache>
                <c:formatCode>General</c:formatCode>
                <c:ptCount val="2"/>
                <c:pt idx="0" formatCode="0.0">
                  <c:v>1.2</c:v>
                </c:pt>
              </c:numCache>
            </c:numRef>
          </c:xVal>
          <c:yVal>
            <c:numRef>
              <c:f>'Graf-čas-A1'!$I$27:$K$27</c:f>
              <c:numCache>
                <c:formatCode>General</c:formatCode>
                <c:ptCount val="3"/>
                <c:pt idx="0" formatCode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74-4206-B7D8-3A6C58A3D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53504"/>
        <c:axId val="222055808"/>
      </c:scatterChart>
      <c:valAx>
        <c:axId val="22205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055808"/>
        <c:crosses val="autoZero"/>
        <c:crossBetween val="midCat"/>
      </c:valAx>
      <c:valAx>
        <c:axId val="22205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</a:rPr>
                  <a:t>četnost pohybů/ doba výkonu práce</a:t>
                </a:r>
                <a:endParaRPr lang="cs-CZ" sz="700" baseline="0">
                  <a:solidFill>
                    <a:sysClr val="windowText" lastClr="000000"/>
                  </a:solidFill>
                </a:endParaRPr>
              </a:p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cs-CZ" sz="70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408169934640519E-2"/>
              <c:y val="0.2228668091168090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0535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55230067037512476"/>
          <c:y val="0.16615224224541711"/>
          <c:w val="0.4176536870631864"/>
          <c:h val="0.1783836726812473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 
v závislosti na vynakládané svalové síle   
PHK</a:t>
            </a:r>
          </a:p>
        </c:rich>
      </c:tx>
      <c:layout>
        <c:manualLayout>
          <c:xMode val="edge"/>
          <c:yMode val="edge"/>
          <c:x val="0.22228724604947861"/>
          <c:y val="1.486530605677061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9751390671801461"/>
          <c:y val="0.17006118915986559"/>
          <c:w val="0.75743260590500627"/>
          <c:h val="0.67068863732458972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'Graf-čas-B1'!$O$1:$O$47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'Graf-čas-B1'!$P$1:$P$47</c:f>
              <c:numCache>
                <c:formatCode>0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5-4B33-BC1C-86F4D835A63C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  <a:sp3d/>
            </c:spPr>
          </c:marker>
          <c:xVal>
            <c:numRef>
              <c:f>'Graf-čas-B1'!$A$27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'Graf-čas-B1'!$C$27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55-4B33-BC1C-86F4D835A63C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  <a:sp3d/>
            </c:spPr>
          </c:marker>
          <c:xVal>
            <c:numRef>
              <c:f>'Graf-čas-B1'!$B$27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'Graf-čas-B1'!$C$27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55-4B33-BC1C-86F4D835A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31328"/>
        <c:axId val="222133632"/>
      </c:scatterChart>
      <c:valAx>
        <c:axId val="22213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133632"/>
        <c:crosses val="autoZero"/>
        <c:crossBetween val="midCat"/>
      </c:valAx>
      <c:valAx>
        <c:axId val="22213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</a:rPr>
                  <a:t>četnost pohybů/ doba výkonu práce</a:t>
                </a:r>
              </a:p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cs-CZ" sz="700" b="0" i="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55882352941182E-2"/>
              <c:y val="0.22902670940170941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13132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54324347454000854"/>
          <c:y val="0.16615224224541711"/>
          <c:w val="0.42671088289830272"/>
          <c:h val="0.1783836726812473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
v závislosti na vynakládané svalové síle  
LHK</a:t>
            </a:r>
          </a:p>
        </c:rich>
      </c:tx>
      <c:layout>
        <c:manualLayout>
          <c:xMode val="edge"/>
          <c:yMode val="edge"/>
          <c:x val="0.22228724604947861"/>
          <c:y val="1.486530605677061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21334968489901329"/>
          <c:y val="0.16499533303017971"/>
          <c:w val="0.7415242045279099"/>
          <c:h val="0.66531683539557551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'Graf-čas-B1'!$R$1:$R$51</c:f>
              <c:numCache>
                <c:formatCode>General</c:formatCode>
                <c:ptCount val="51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'Graf-čas-B1'!$S$1:$S$47</c:f>
              <c:numCache>
                <c:formatCode>General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5-49AC-A280-6DC8D650BD4E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  <a:sp3d/>
            </c:spPr>
          </c:marker>
          <c:xVal>
            <c:numRef>
              <c:f>'Graf-čas-B1'!$E$27:$F$27</c:f>
              <c:numCache>
                <c:formatCode>General</c:formatCode>
                <c:ptCount val="2"/>
                <c:pt idx="0" formatCode="0.0">
                  <c:v>0</c:v>
                </c:pt>
              </c:numCache>
            </c:numRef>
          </c:xVal>
          <c:yVal>
            <c:numRef>
              <c:f>'Graf-čas-B1'!$I$27:$K$27</c:f>
              <c:numCache>
                <c:formatCode>General</c:formatCode>
                <c:ptCount val="3"/>
                <c:pt idx="0" formatCode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E5-49AC-A280-6DC8D650BD4E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  <a:sp3d/>
            </c:spPr>
          </c:marker>
          <c:xVal>
            <c:numRef>
              <c:f>'Graf-čas-B1'!$G$27:$H$27</c:f>
              <c:numCache>
                <c:formatCode>General</c:formatCode>
                <c:ptCount val="2"/>
                <c:pt idx="0" formatCode="0.0">
                  <c:v>0</c:v>
                </c:pt>
              </c:numCache>
            </c:numRef>
          </c:xVal>
          <c:yVal>
            <c:numRef>
              <c:f>'Graf-čas-B1'!$I$27:$K$27</c:f>
              <c:numCache>
                <c:formatCode>General</c:formatCode>
                <c:ptCount val="3"/>
                <c:pt idx="0" formatCode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E5-49AC-A280-6DC8D650B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23680"/>
        <c:axId val="222025984"/>
      </c:scatterChart>
      <c:valAx>
        <c:axId val="22202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025984"/>
        <c:crosses val="autoZero"/>
        <c:crossBetween val="midCat"/>
      </c:valAx>
      <c:valAx>
        <c:axId val="22202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</a:rPr>
                  <a:t>četnost pohybů/ doba výkonu práce</a:t>
                </a:r>
                <a:endParaRPr lang="cs-CZ" sz="700" baseline="0">
                  <a:solidFill>
                    <a:sysClr val="windowText" lastClr="000000"/>
                  </a:solidFill>
                </a:endParaRPr>
              </a:p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cs-CZ" sz="70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408169934640519E-2"/>
              <c:y val="0.2228668091168090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02368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55230067037512476"/>
          <c:y val="0.16615224224541711"/>
          <c:w val="0.4176536870631864"/>
          <c:h val="0.1783836726812473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 
v závislosti na vynakládané svalové síle   
PHK</a:t>
            </a:r>
          </a:p>
        </c:rich>
      </c:tx>
      <c:layout>
        <c:manualLayout>
          <c:xMode val="edge"/>
          <c:yMode val="edge"/>
          <c:x val="0.22228724604947861"/>
          <c:y val="1.486530605677061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9751390671801461"/>
          <c:y val="0.17006118915986559"/>
          <c:w val="0.75743260590500627"/>
          <c:h val="0.67068863732458972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'Graf-kusy-A'!$O$1:$O$47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'Graf-kusy-A'!$P$1:$P$47</c:f>
              <c:numCache>
                <c:formatCode>0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0-4F1D-BBC1-615082CB5D4F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  <a:sp3d/>
            </c:spPr>
          </c:marker>
          <c:xVal>
            <c:numRef>
              <c:f>'Graf-kusy-A'!$A$27</c:f>
              <c:numCache>
                <c:formatCode>0.0</c:formatCode>
                <c:ptCount val="1"/>
                <c:pt idx="0">
                  <c:v>9.3000000000000007</c:v>
                </c:pt>
              </c:numCache>
            </c:numRef>
          </c:xVal>
          <c:yVal>
            <c:numRef>
              <c:f>'Graf-kusy-A'!$C$27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30-4F1D-BBC1-615082CB5D4F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  <a:sp3d/>
            </c:spPr>
          </c:marker>
          <c:xVal>
            <c:numRef>
              <c:f>'Graf-kusy-A'!$B$27</c:f>
              <c:numCache>
                <c:formatCode>0.0</c:formatCode>
                <c:ptCount val="1"/>
                <c:pt idx="0">
                  <c:v>6</c:v>
                </c:pt>
              </c:numCache>
            </c:numRef>
          </c:xVal>
          <c:yVal>
            <c:numRef>
              <c:f>'Graf-kusy-A'!$C$27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30-4F1D-BBC1-615082CB5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79040"/>
        <c:axId val="222681344"/>
      </c:scatterChart>
      <c:valAx>
        <c:axId val="222679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681344"/>
        <c:crosses val="autoZero"/>
        <c:crossBetween val="midCat"/>
      </c:valAx>
      <c:valAx>
        <c:axId val="22268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</a:rPr>
                  <a:t>četnost pohybů/ doba výkonu práce</a:t>
                </a:r>
              </a:p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cs-CZ" sz="700" b="0" i="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55882352941182E-2"/>
              <c:y val="0.22902670940170941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67904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54324347454000854"/>
          <c:y val="0.16615224224541711"/>
          <c:w val="0.42671088289830272"/>
          <c:h val="0.1783836726812473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
v závislosti na vynakládané svalové síle  
LHK</a:t>
            </a:r>
          </a:p>
        </c:rich>
      </c:tx>
      <c:layout>
        <c:manualLayout>
          <c:xMode val="edge"/>
          <c:yMode val="edge"/>
          <c:x val="0.22228724604947861"/>
          <c:y val="1.486530605677061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21334968489901329"/>
          <c:y val="0.16499533303017971"/>
          <c:w val="0.7415242045279099"/>
          <c:h val="0.66531683539557551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'Graf-kusy-A'!$R$1:$R$51</c:f>
              <c:numCache>
                <c:formatCode>General</c:formatCode>
                <c:ptCount val="51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'Graf-kusy-A'!$S$1:$S$47</c:f>
              <c:numCache>
                <c:formatCode>General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3A-4DC8-B732-80BDCC8379C9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  <a:sp3d/>
            </c:spPr>
          </c:marker>
          <c:xVal>
            <c:numRef>
              <c:f>'Graf-kusy-A'!$E$27:$F$27</c:f>
              <c:numCache>
                <c:formatCode>General</c:formatCode>
                <c:ptCount val="2"/>
                <c:pt idx="0" formatCode="0.0">
                  <c:v>7.2</c:v>
                </c:pt>
              </c:numCache>
            </c:numRef>
          </c:xVal>
          <c:yVal>
            <c:numRef>
              <c:f>'Graf-kusy-A'!$I$27:$K$27</c:f>
              <c:numCache>
                <c:formatCode>General</c:formatCode>
                <c:ptCount val="3"/>
                <c:pt idx="0" formatCode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3A-4DC8-B732-80BDCC8379C9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  <a:sp3d/>
            </c:spPr>
          </c:marker>
          <c:xVal>
            <c:numRef>
              <c:f>'Graf-kusy-A'!$G$27:$H$27</c:f>
              <c:numCache>
                <c:formatCode>General</c:formatCode>
                <c:ptCount val="2"/>
                <c:pt idx="0" formatCode="0.0">
                  <c:v>1.2</c:v>
                </c:pt>
              </c:numCache>
            </c:numRef>
          </c:xVal>
          <c:yVal>
            <c:numRef>
              <c:f>'Graf-kusy-A'!$I$27:$K$27</c:f>
              <c:numCache>
                <c:formatCode>General</c:formatCode>
                <c:ptCount val="3"/>
                <c:pt idx="0" formatCode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3A-4DC8-B732-80BDCC837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39712"/>
        <c:axId val="221426432"/>
      </c:scatterChart>
      <c:valAx>
        <c:axId val="21953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426432"/>
        <c:crosses val="autoZero"/>
        <c:crossBetween val="midCat"/>
      </c:valAx>
      <c:valAx>
        <c:axId val="22142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</a:rPr>
                  <a:t>četnost pohybů/ doba výkonu práce</a:t>
                </a:r>
                <a:endParaRPr lang="cs-CZ" sz="700" baseline="0">
                  <a:solidFill>
                    <a:sysClr val="windowText" lastClr="000000"/>
                  </a:solidFill>
                </a:endParaRPr>
              </a:p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cs-CZ" sz="70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408169934640519E-2"/>
              <c:y val="0.2228668091168090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953971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55230067037512476"/>
          <c:y val="0.16615224224541711"/>
          <c:w val="0.4176536870631864"/>
          <c:h val="0.1783836726812473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 
v závislosti na vynakládané svalové síle   
PHK</a:t>
            </a:r>
          </a:p>
        </c:rich>
      </c:tx>
      <c:layout>
        <c:manualLayout>
          <c:xMode val="edge"/>
          <c:yMode val="edge"/>
          <c:x val="0.22228724604947861"/>
          <c:y val="1.486530605677061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9751390671801461"/>
          <c:y val="0.17006118915986559"/>
          <c:w val="0.75743260590500627"/>
          <c:h val="0.67068863732458972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'Graf-kusy-B'!$O$1:$O$47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'Graf-kusy-B'!$P$1:$P$47</c:f>
              <c:numCache>
                <c:formatCode>0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E-44B6-B362-2981F838A47A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  <a:sp3d/>
            </c:spPr>
          </c:marker>
          <c:xVal>
            <c:numRef>
              <c:f>'Graf-kusy-B'!$A$27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'Graf-kusy-B'!$C$27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6E-44B6-B362-2981F838A47A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  <a:sp3d/>
            </c:spPr>
          </c:marker>
          <c:xVal>
            <c:numRef>
              <c:f>'Graf-kusy-B'!$B$27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'Graf-kusy-B'!$C$27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6E-44B6-B362-2981F838A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378240"/>
        <c:axId val="222380800"/>
      </c:scatterChart>
      <c:valAx>
        <c:axId val="22237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380800"/>
        <c:crosses val="autoZero"/>
        <c:crossBetween val="midCat"/>
      </c:valAx>
      <c:valAx>
        <c:axId val="22238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</a:rPr>
                  <a:t>četnost pohybů/ doba výkonu práce</a:t>
                </a:r>
              </a:p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cs-CZ" sz="700" b="0" i="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55882352941182E-2"/>
              <c:y val="0.22902670940170941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37824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54324347454000854"/>
          <c:y val="0.16615224224541711"/>
          <c:w val="0.42671088289830272"/>
          <c:h val="0.1783836726812473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
v závislosti na vynakládané svalové síle  
LHK</a:t>
            </a:r>
          </a:p>
        </c:rich>
      </c:tx>
      <c:layout>
        <c:manualLayout>
          <c:xMode val="edge"/>
          <c:yMode val="edge"/>
          <c:x val="0.22228724604947861"/>
          <c:y val="1.4865306056770611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21334968489901329"/>
          <c:y val="0.16499533303017971"/>
          <c:w val="0.7415242045279099"/>
          <c:h val="0.66531683539557551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xVal>
            <c:numRef>
              <c:f>'Graf-kusy-B'!$R$1:$R$51</c:f>
              <c:numCache>
                <c:formatCode>General</c:formatCode>
                <c:ptCount val="51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'Graf-kusy-B'!$S$1:$S$47</c:f>
              <c:numCache>
                <c:formatCode>General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6B-407E-A5DE-FCC628D0A50E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prstDash val="solid"/>
                <a:round/>
              </a:ln>
              <a:sp3d/>
            </c:spPr>
          </c:marker>
          <c:xVal>
            <c:numRef>
              <c:f>'Graf-kusy-B'!$E$27:$F$27</c:f>
              <c:numCache>
                <c:formatCode>General</c:formatCode>
                <c:ptCount val="2"/>
                <c:pt idx="0" formatCode="0.0">
                  <c:v>0</c:v>
                </c:pt>
              </c:numCache>
            </c:numRef>
          </c:xVal>
          <c:yVal>
            <c:numRef>
              <c:f>'Graf-kusy-B'!$I$27:$K$27</c:f>
              <c:numCache>
                <c:formatCode>General</c:formatCode>
                <c:ptCount val="3"/>
                <c:pt idx="0" formatCode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6B-407E-A5DE-FCC628D0A50E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prstDash val="solid"/>
                <a:round/>
              </a:ln>
              <a:sp3d/>
            </c:spPr>
          </c:marker>
          <c:xVal>
            <c:numRef>
              <c:f>'Graf-kusy-B'!$G$27:$H$27</c:f>
              <c:numCache>
                <c:formatCode>General</c:formatCode>
                <c:ptCount val="2"/>
                <c:pt idx="0" formatCode="0.0">
                  <c:v>0</c:v>
                </c:pt>
              </c:numCache>
            </c:numRef>
          </c:xVal>
          <c:yVal>
            <c:numRef>
              <c:f>'Graf-kusy-B'!$I$27:$K$27</c:f>
              <c:numCache>
                <c:formatCode>General</c:formatCode>
                <c:ptCount val="3"/>
                <c:pt idx="0" formatCode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6B-407E-A5DE-FCC628D0A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520448"/>
        <c:axId val="222522752"/>
      </c:scatterChart>
      <c:valAx>
        <c:axId val="22252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522752"/>
        <c:crosses val="autoZero"/>
        <c:crossBetween val="midCat"/>
      </c:valAx>
      <c:valAx>
        <c:axId val="22252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</a:rPr>
                  <a:t>četnost pohybů/ doba výkonu práce</a:t>
                </a:r>
                <a:endParaRPr lang="cs-CZ" sz="700" baseline="0">
                  <a:solidFill>
                    <a:sysClr val="windowText" lastClr="000000"/>
                  </a:solidFill>
                </a:endParaRPr>
              </a:p>
              <a:p>
                <a:pPr marL="0" marR="0" lvl="0" indent="0" algn="ctr" defTabSz="914400" rtl="0" eaLnBrk="1" fontAlgn="auto" latinLnBrk="0" hangingPunct="1">
                  <a:defRPr sz="7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cs-CZ" sz="70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408169934640519E-2"/>
              <c:y val="0.2228668091168090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0" spcFirstLastPara="1" vertOverflow="ellipsis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52044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55230067037512476"/>
          <c:y val="0.16615224224541711"/>
          <c:w val="0.4176536870631864"/>
          <c:h val="0.1783836726812473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ysClr val="windowText" lastClr="000000"/>
      </a:solidFill>
      <a:prstDash val="solid"/>
      <a:round/>
    </a:ln>
  </c:sp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363899</xdr:colOff>
      <xdr:row>1</xdr:row>
      <xdr:rowOff>13186</xdr:rowOff>
    </xdr:from>
    <xdr:to>
      <xdr:col>14</xdr:col>
      <xdr:colOff>1459</xdr:colOff>
      <xdr:row>4</xdr:row>
      <xdr:rowOff>41031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t="14000" b="28800"/>
        <a:stretch>
          <a:fillRect/>
        </a:stretch>
      </xdr:blipFill>
      <xdr:spPr>
        <a:xfrm>
          <a:off x="5897191" y="364878"/>
          <a:ext cx="991575" cy="58469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12</xdr:col>
      <xdr:colOff>363899</xdr:colOff>
      <xdr:row>1</xdr:row>
      <xdr:rowOff>13186</xdr:rowOff>
    </xdr:from>
    <xdr:to>
      <xdr:col>14</xdr:col>
      <xdr:colOff>1459</xdr:colOff>
      <xdr:row>4</xdr:row>
      <xdr:rowOff>41031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t="14000" b="28800"/>
        <a:stretch>
          <a:fillRect/>
        </a:stretch>
      </xdr:blipFill>
      <xdr:spPr>
        <a:xfrm>
          <a:off x="6459899" y="363706"/>
          <a:ext cx="993920" cy="584105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6</xdr:col>
          <xdr:colOff>0</xdr:colOff>
          <xdr:row>15</xdr:row>
          <xdr:rowOff>7620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cs-CZ" sz="1000" b="1" i="0" u="none" strike="noStrike" baseline="0">
                  <a:solidFill>
                    <a:srgbClr val="FF0000"/>
                  </a:solidFill>
                  <a:latin typeface="Arial CE"/>
                  <a:cs typeface="Arial CE"/>
                </a:rPr>
                <a:t>Přenos do Pracovník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16</xdr:row>
          <xdr:rowOff>15240</xdr:rowOff>
        </xdr:from>
        <xdr:to>
          <xdr:col>6</xdr:col>
          <xdr:colOff>0</xdr:colOff>
          <xdr:row>18</xdr:row>
          <xdr:rowOff>22860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cs-CZ" sz="1000" b="1" i="0" u="none" strike="noStrike" baseline="0">
                  <a:solidFill>
                    <a:srgbClr val="0000FF"/>
                  </a:solidFill>
                  <a:latin typeface="Arial CE"/>
                  <a:cs typeface="Arial CE"/>
                </a:rPr>
                <a:t>Přenos do Pracovník 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708024</xdr:colOff>
      <xdr:row>67</xdr:row>
      <xdr:rowOff>22033</xdr:rowOff>
    </xdr:from>
    <xdr:to>
      <xdr:col>12</xdr:col>
      <xdr:colOff>102084</xdr:colOff>
      <xdr:row>81</xdr:row>
      <xdr:rowOff>131593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533112</xdr:colOff>
      <xdr:row>67</xdr:row>
      <xdr:rowOff>21840</xdr:rowOff>
    </xdr:from>
    <xdr:to>
      <xdr:col>16</xdr:col>
      <xdr:colOff>18612</xdr:colOff>
      <xdr:row>81</xdr:row>
      <xdr:rowOff>131400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228600</xdr:colOff>
      <xdr:row>0</xdr:row>
      <xdr:rowOff>0</xdr:rowOff>
    </xdr:from>
    <xdr:to>
      <xdr:col>2</xdr:col>
      <xdr:colOff>1352690</xdr:colOff>
      <xdr:row>1</xdr:row>
      <xdr:rowOff>17865</xdr:rowOff>
    </xdr:to>
    <xdr:pic>
      <xdr:nvPicPr>
        <xdr:cNvPr id="6" name="Obrázek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4000" b="28800"/>
        <a:stretch>
          <a:fillRect/>
        </a:stretch>
      </xdr:blipFill>
      <xdr:spPr>
        <a:xfrm>
          <a:off x="657225" y="0"/>
          <a:ext cx="1120280" cy="6408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3</xdr:row>
      <xdr:rowOff>9525</xdr:rowOff>
    </xdr:from>
    <xdr:to>
      <xdr:col>8</xdr:col>
      <xdr:colOff>520205</xdr:colOff>
      <xdr:row>6</xdr:row>
      <xdr:rowOff>78825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4000" b="28800"/>
        <a:stretch>
          <a:fillRect/>
        </a:stretch>
      </xdr:blipFill>
      <xdr:spPr>
        <a:xfrm>
          <a:off x="5353050" y="781050"/>
          <a:ext cx="1120280" cy="6408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57150</xdr:colOff>
      <xdr:row>3</xdr:row>
      <xdr:rowOff>57150</xdr:rowOff>
    </xdr:from>
    <xdr:to>
      <xdr:col>9</xdr:col>
      <xdr:colOff>510680</xdr:colOff>
      <xdr:row>6</xdr:row>
      <xdr:rowOff>126450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4000" b="28800"/>
        <a:stretch>
          <a:fillRect/>
        </a:stretch>
      </xdr:blipFill>
      <xdr:spPr>
        <a:xfrm>
          <a:off x="6010275" y="828675"/>
          <a:ext cx="1120280" cy="6408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161925</xdr:rowOff>
    </xdr:from>
    <xdr:to>
      <xdr:col>12</xdr:col>
      <xdr:colOff>114300</xdr:colOff>
      <xdr:row>22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2</xdr:row>
      <xdr:rowOff>0</xdr:rowOff>
    </xdr:from>
    <xdr:to>
      <xdr:col>18</xdr:col>
      <xdr:colOff>123825</xdr:colOff>
      <xdr:row>22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351692</xdr:colOff>
      <xdr:row>15</xdr:row>
      <xdr:rowOff>73269</xdr:rowOff>
    </xdr:from>
    <xdr:to>
      <xdr:col>4</xdr:col>
      <xdr:colOff>28568</xdr:colOff>
      <xdr:row>19</xdr:row>
      <xdr:rowOff>69300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4000" b="28800"/>
        <a:stretch>
          <a:fillRect/>
        </a:stretch>
      </xdr:blipFill>
      <xdr:spPr>
        <a:xfrm>
          <a:off x="556846" y="2747596"/>
          <a:ext cx="1120280" cy="6408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161925</xdr:rowOff>
    </xdr:from>
    <xdr:to>
      <xdr:col>12</xdr:col>
      <xdr:colOff>114300</xdr:colOff>
      <xdr:row>22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2</xdr:row>
      <xdr:rowOff>0</xdr:rowOff>
    </xdr:from>
    <xdr:to>
      <xdr:col>18</xdr:col>
      <xdr:colOff>123825</xdr:colOff>
      <xdr:row>22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300403</xdr:colOff>
      <xdr:row>15</xdr:row>
      <xdr:rowOff>29307</xdr:rowOff>
    </xdr:from>
    <xdr:to>
      <xdr:col>3</xdr:col>
      <xdr:colOff>585414</xdr:colOff>
      <xdr:row>19</xdr:row>
      <xdr:rowOff>25338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4000" b="28800"/>
        <a:stretch>
          <a:fillRect/>
        </a:stretch>
      </xdr:blipFill>
      <xdr:spPr>
        <a:xfrm>
          <a:off x="505557" y="2703634"/>
          <a:ext cx="1120280" cy="6408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581025</xdr:colOff>
      <xdr:row>68</xdr:row>
      <xdr:rowOff>104775</xdr:rowOff>
    </xdr:from>
    <xdr:to>
      <xdr:col>12</xdr:col>
      <xdr:colOff>56550</xdr:colOff>
      <xdr:row>83</xdr:row>
      <xdr:rowOff>36041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68</xdr:row>
      <xdr:rowOff>114300</xdr:rowOff>
    </xdr:from>
    <xdr:to>
      <xdr:col>16</xdr:col>
      <xdr:colOff>8924</xdr:colOff>
      <xdr:row>83</xdr:row>
      <xdr:rowOff>45566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228600</xdr:colOff>
      <xdr:row>0</xdr:row>
      <xdr:rowOff>0</xdr:rowOff>
    </xdr:from>
    <xdr:to>
      <xdr:col>2</xdr:col>
      <xdr:colOff>1352690</xdr:colOff>
      <xdr:row>1</xdr:row>
      <xdr:rowOff>17865</xdr:rowOff>
    </xdr:to>
    <xdr:pic>
      <xdr:nvPicPr>
        <xdr:cNvPr id="4" name="Obrázek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4000" b="28800"/>
        <a:stretch>
          <a:fillRect/>
        </a:stretch>
      </xdr:blipFill>
      <xdr:spPr>
        <a:xfrm>
          <a:off x="657225" y="0"/>
          <a:ext cx="1120280" cy="6408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17672</xdr:colOff>
      <xdr:row>24</xdr:row>
      <xdr:rowOff>16586</xdr:rowOff>
    </xdr:from>
    <xdr:to>
      <xdr:col>13</xdr:col>
      <xdr:colOff>581192</xdr:colOff>
      <xdr:row>38</xdr:row>
      <xdr:rowOff>67706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173466</xdr:colOff>
      <xdr:row>24</xdr:row>
      <xdr:rowOff>16584</xdr:rowOff>
    </xdr:from>
    <xdr:to>
      <xdr:col>19</xdr:col>
      <xdr:colOff>363606</xdr:colOff>
      <xdr:row>38</xdr:row>
      <xdr:rowOff>67704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40696</xdr:colOff>
      <xdr:row>6</xdr:row>
      <xdr:rowOff>66675</xdr:rowOff>
    </xdr:from>
    <xdr:to>
      <xdr:col>3</xdr:col>
      <xdr:colOff>705571</xdr:colOff>
      <xdr:row>21</xdr:row>
      <xdr:rowOff>13327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234660</xdr:colOff>
      <xdr:row>6</xdr:row>
      <xdr:rowOff>67541</xdr:rowOff>
    </xdr:from>
    <xdr:to>
      <xdr:col>11</xdr:col>
      <xdr:colOff>242310</xdr:colOff>
      <xdr:row>21</xdr:row>
      <xdr:rowOff>14193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638175</xdr:colOff>
      <xdr:row>0</xdr:row>
      <xdr:rowOff>28575</xdr:rowOff>
    </xdr:from>
    <xdr:to>
      <xdr:col>10</xdr:col>
      <xdr:colOff>31965</xdr:colOff>
      <xdr:row>3</xdr:row>
      <xdr:rowOff>125730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90035" y="28575"/>
          <a:ext cx="1336890" cy="600075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40696</xdr:colOff>
      <xdr:row>6</xdr:row>
      <xdr:rowOff>66675</xdr:rowOff>
    </xdr:from>
    <xdr:to>
      <xdr:col>3</xdr:col>
      <xdr:colOff>705571</xdr:colOff>
      <xdr:row>21</xdr:row>
      <xdr:rowOff>13327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234660</xdr:colOff>
      <xdr:row>6</xdr:row>
      <xdr:rowOff>67541</xdr:rowOff>
    </xdr:from>
    <xdr:to>
      <xdr:col>11</xdr:col>
      <xdr:colOff>242310</xdr:colOff>
      <xdr:row>21</xdr:row>
      <xdr:rowOff>14193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638175</xdr:colOff>
      <xdr:row>0</xdr:row>
      <xdr:rowOff>28575</xdr:rowOff>
    </xdr:from>
    <xdr:to>
      <xdr:col>10</xdr:col>
      <xdr:colOff>31965</xdr:colOff>
      <xdr:row>3</xdr:row>
      <xdr:rowOff>125730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90035" y="28575"/>
          <a:ext cx="1336890" cy="600075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40696</xdr:colOff>
      <xdr:row>6</xdr:row>
      <xdr:rowOff>66675</xdr:rowOff>
    </xdr:from>
    <xdr:to>
      <xdr:col>3</xdr:col>
      <xdr:colOff>705571</xdr:colOff>
      <xdr:row>21</xdr:row>
      <xdr:rowOff>13327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234660</xdr:colOff>
      <xdr:row>6</xdr:row>
      <xdr:rowOff>67541</xdr:rowOff>
    </xdr:from>
    <xdr:to>
      <xdr:col>11</xdr:col>
      <xdr:colOff>242310</xdr:colOff>
      <xdr:row>21</xdr:row>
      <xdr:rowOff>14193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638175</xdr:colOff>
      <xdr:row>0</xdr:row>
      <xdr:rowOff>28575</xdr:rowOff>
    </xdr:from>
    <xdr:to>
      <xdr:col>10</xdr:col>
      <xdr:colOff>31965</xdr:colOff>
      <xdr:row>3</xdr:row>
      <xdr:rowOff>125730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90035" y="28575"/>
          <a:ext cx="1336890" cy="600075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40696</xdr:colOff>
      <xdr:row>6</xdr:row>
      <xdr:rowOff>66675</xdr:rowOff>
    </xdr:from>
    <xdr:to>
      <xdr:col>3</xdr:col>
      <xdr:colOff>705571</xdr:colOff>
      <xdr:row>21</xdr:row>
      <xdr:rowOff>13327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234660</xdr:colOff>
      <xdr:row>6</xdr:row>
      <xdr:rowOff>67541</xdr:rowOff>
    </xdr:from>
    <xdr:to>
      <xdr:col>11</xdr:col>
      <xdr:colOff>242310</xdr:colOff>
      <xdr:row>21</xdr:row>
      <xdr:rowOff>14193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638175</xdr:colOff>
      <xdr:row>0</xdr:row>
      <xdr:rowOff>28575</xdr:rowOff>
    </xdr:from>
    <xdr:to>
      <xdr:col>10</xdr:col>
      <xdr:colOff>31965</xdr:colOff>
      <xdr:row>3</xdr:row>
      <xdr:rowOff>125730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90035" y="28575"/>
          <a:ext cx="1336890" cy="600075"/>
        </a:xfrm>
        <a:prstGeom prst="rect">
          <a:avLst/>
        </a:prstGeom>
        <a:ln>
          <a:prstDash val="solid"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lka1" displayName="Tabulka1" ref="B10:B12" totalsRowShown="0" dataDxfId="6">
  <autoFilter ref="B10:B12" xr:uid="{00000000-0009-0000-0100-000001000000}"/>
  <tableColumns count="1">
    <tableColumn id="1" xr3:uid="{00000000-0010-0000-0000-000001000000}" name="Sloupec1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lka2" displayName="Tabulka2" ref="C10:C12" totalsRowShown="0" dataDxfId="4">
  <autoFilter ref="C10:C12" xr:uid="{00000000-0009-0000-0100-000002000000}"/>
  <tableColumns count="1">
    <tableColumn id="1" xr3:uid="{00000000-0010-0000-0100-000001000000}" name="Sloupec1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>
    <tabColor rgb="FFFF0000"/>
  </sheetPr>
  <dimension ref="A1:W64"/>
  <sheetViews>
    <sheetView showGridLines="0" topLeftCell="A25" zoomScaleNormal="100" workbookViewId="0">
      <selection activeCell="C37" sqref="C37:E37"/>
    </sheetView>
  </sheetViews>
  <sheetFormatPr defaultColWidth="9.109375" defaultRowHeight="13.8"/>
  <cols>
    <col min="1" max="1" width="0.44140625" style="48" customWidth="1"/>
    <col min="2" max="2" width="4.33203125" style="48" customWidth="1"/>
    <col min="3" max="3" width="16.109375" style="48" customWidth="1"/>
    <col min="4" max="5" width="13.5546875" style="48" customWidth="1"/>
    <col min="6" max="6" width="10.5546875" style="107" customWidth="1"/>
    <col min="7" max="8" width="8.6640625" style="48" hidden="1" customWidth="1"/>
    <col min="9" max="9" width="8.6640625" style="111" hidden="1" customWidth="1"/>
    <col min="10" max="10" width="10.33203125" style="107" customWidth="1"/>
    <col min="11" max="11" width="14.6640625" style="48" customWidth="1"/>
    <col min="12" max="12" width="5.33203125" style="48" customWidth="1"/>
    <col min="13" max="13" width="9.6640625" style="111" customWidth="1"/>
    <col min="14" max="14" width="10.109375" style="111" customWidth="1"/>
    <col min="15" max="16" width="9.109375" style="48" customWidth="1"/>
    <col min="17" max="17" width="9.44140625" style="48" customWidth="1"/>
    <col min="18" max="18" width="30.33203125" style="48" customWidth="1"/>
    <col min="19" max="19" width="14.6640625" style="48" customWidth="1"/>
    <col min="20" max="21" width="14.44140625" style="48" customWidth="1"/>
    <col min="22" max="22" width="13.33203125" style="48" customWidth="1"/>
    <col min="23" max="23" width="18.5546875" style="48" customWidth="1"/>
    <col min="24" max="24" width="9.109375" style="48" customWidth="1"/>
    <col min="25" max="16384" width="9.109375" style="48"/>
  </cols>
  <sheetData>
    <row r="1" spans="2:23" ht="27.6" customHeight="1">
      <c r="B1" s="432" t="s">
        <v>0</v>
      </c>
      <c r="C1" s="407"/>
      <c r="D1" s="407"/>
      <c r="E1" s="407"/>
      <c r="F1" s="409"/>
      <c r="G1" s="407"/>
      <c r="H1" s="407"/>
      <c r="I1" s="408"/>
      <c r="J1" s="409"/>
      <c r="K1" s="407"/>
      <c r="L1" s="407"/>
      <c r="M1" s="408"/>
      <c r="N1" s="408"/>
    </row>
    <row r="2" spans="2:23" ht="16.5" customHeight="1">
      <c r="G2" s="107"/>
      <c r="H2" s="107"/>
      <c r="I2" s="108"/>
      <c r="J2" s="54"/>
      <c r="K2" s="109"/>
      <c r="L2" s="110"/>
      <c r="N2" s="112"/>
    </row>
    <row r="3" spans="2:23">
      <c r="C3" s="113" t="s">
        <v>1</v>
      </c>
      <c r="D3" s="378"/>
      <c r="E3" s="111"/>
      <c r="G3" s="107"/>
      <c r="H3" s="107"/>
      <c r="I3" s="108"/>
      <c r="J3" s="54"/>
      <c r="K3" s="109"/>
      <c r="L3" s="110"/>
      <c r="N3" s="112"/>
    </row>
    <row r="4" spans="2:23">
      <c r="C4" s="113" t="s">
        <v>2</v>
      </c>
      <c r="D4" s="114"/>
      <c r="E4" s="111"/>
      <c r="F4" s="107" t="s">
        <v>3</v>
      </c>
      <c r="G4" s="107"/>
      <c r="H4" s="107"/>
      <c r="I4" s="108"/>
      <c r="J4" s="256"/>
      <c r="K4" s="109"/>
      <c r="L4" s="110"/>
      <c r="N4" s="112"/>
    </row>
    <row r="5" spans="2:23">
      <c r="C5" s="113" t="s">
        <v>4</v>
      </c>
      <c r="D5" s="115"/>
      <c r="E5" s="116"/>
      <c r="G5" s="117"/>
      <c r="H5" s="117"/>
      <c r="I5" s="118"/>
      <c r="J5" s="54"/>
      <c r="K5" s="109"/>
      <c r="L5" s="110"/>
      <c r="N5" s="112"/>
    </row>
    <row r="6" spans="2:23">
      <c r="C6" s="113" t="s">
        <v>5</v>
      </c>
      <c r="D6" s="114">
        <v>480</v>
      </c>
      <c r="E6" s="111"/>
      <c r="F6" s="113" t="s">
        <v>6</v>
      </c>
      <c r="G6" s="107"/>
      <c r="H6" s="107"/>
      <c r="I6" s="48"/>
      <c r="J6" s="114">
        <v>30</v>
      </c>
      <c r="L6" s="110"/>
      <c r="M6" s="119" t="s">
        <v>7</v>
      </c>
      <c r="N6" s="120">
        <f>D6-J6</f>
        <v>450</v>
      </c>
    </row>
    <row r="7" spans="2:23">
      <c r="C7" s="113" t="s">
        <v>8</v>
      </c>
      <c r="D7" s="114"/>
      <c r="E7" s="111"/>
      <c r="G7" s="107"/>
      <c r="H7" s="107"/>
      <c r="I7" s="108"/>
      <c r="J7" s="54"/>
      <c r="K7" s="109"/>
      <c r="L7" s="110"/>
      <c r="N7" s="112"/>
    </row>
    <row r="8" spans="2:23">
      <c r="C8" s="113" t="s">
        <v>9</v>
      </c>
      <c r="D8" s="114"/>
      <c r="E8" s="111"/>
      <c r="G8" s="107"/>
      <c r="H8" s="107"/>
      <c r="I8" s="108"/>
      <c r="J8" s="54"/>
      <c r="K8" s="109"/>
      <c r="L8" s="110"/>
      <c r="N8" s="112"/>
    </row>
    <row r="9" spans="2:23" ht="13.5" customHeight="1" thickBot="1">
      <c r="B9" s="121"/>
      <c r="C9" s="122"/>
      <c r="D9" s="122"/>
      <c r="E9" s="122"/>
      <c r="F9" s="123"/>
      <c r="G9" s="124"/>
      <c r="H9" s="124"/>
      <c r="I9" s="125"/>
      <c r="J9" s="126"/>
      <c r="K9" s="127"/>
      <c r="L9" s="128"/>
      <c r="M9" s="129"/>
      <c r="N9" s="130"/>
    </row>
    <row r="10" spans="2:23" ht="8.25" customHeight="1" thickTop="1">
      <c r="C10" s="113"/>
      <c r="D10" s="113"/>
      <c r="E10" s="113"/>
      <c r="F10" s="131"/>
      <c r="G10" s="107"/>
      <c r="H10" s="107"/>
      <c r="I10" s="108"/>
      <c r="J10" s="54"/>
      <c r="K10" s="424"/>
      <c r="L10" s="425"/>
      <c r="N10" s="112"/>
    </row>
    <row r="11" spans="2:23" ht="25.5" customHeight="1">
      <c r="B11" s="430" t="s">
        <v>10</v>
      </c>
      <c r="C11" s="407"/>
      <c r="D11" s="407"/>
      <c r="E11" s="113"/>
      <c r="F11" s="430" t="s">
        <v>11</v>
      </c>
      <c r="G11" s="407"/>
      <c r="H11" s="407"/>
      <c r="I11" s="408"/>
      <c r="J11" s="409"/>
      <c r="K11" s="407"/>
      <c r="L11" s="407"/>
      <c r="N11" s="112"/>
      <c r="P11" s="244" t="s">
        <v>12</v>
      </c>
      <c r="Q11" s="244" t="s">
        <v>13</v>
      </c>
      <c r="R11" s="244" t="s">
        <v>14</v>
      </c>
      <c r="S11" s="244" t="s">
        <v>15</v>
      </c>
      <c r="T11" s="244" t="s">
        <v>16</v>
      </c>
      <c r="U11" s="312" t="s">
        <v>17</v>
      </c>
      <c r="V11" s="308" t="s">
        <v>18</v>
      </c>
      <c r="W11" s="244" t="s">
        <v>19</v>
      </c>
    </row>
    <row r="12" spans="2:23" ht="15" customHeight="1">
      <c r="B12" s="406" t="s">
        <v>20</v>
      </c>
      <c r="C12" s="407"/>
      <c r="D12" s="241" t="s">
        <v>21</v>
      </c>
      <c r="E12" s="113"/>
      <c r="F12" s="406" t="s">
        <v>20</v>
      </c>
      <c r="G12" s="407"/>
      <c r="H12" s="407"/>
      <c r="I12" s="408"/>
      <c r="J12" s="409"/>
      <c r="K12" s="241" t="s">
        <v>22</v>
      </c>
      <c r="L12" s="76"/>
      <c r="M12" s="76"/>
      <c r="N12" s="112"/>
      <c r="P12" s="245" t="s">
        <v>23</v>
      </c>
      <c r="Q12" s="246" t="s">
        <v>24</v>
      </c>
      <c r="R12" s="246" t="s">
        <v>25</v>
      </c>
      <c r="S12" s="307">
        <v>46032</v>
      </c>
      <c r="T12" s="307">
        <v>45667</v>
      </c>
      <c r="U12" s="307">
        <v>44931</v>
      </c>
      <c r="V12" s="307">
        <v>44558</v>
      </c>
      <c r="W12" s="305">
        <v>43902</v>
      </c>
    </row>
    <row r="13" spans="2:23" ht="15" customHeight="1">
      <c r="B13" s="406" t="s">
        <v>26</v>
      </c>
      <c r="C13" s="407"/>
      <c r="D13" s="242"/>
      <c r="E13" s="113"/>
      <c r="F13" s="406" t="s">
        <v>26</v>
      </c>
      <c r="G13" s="407"/>
      <c r="H13" s="407"/>
      <c r="I13" s="408"/>
      <c r="J13" s="409"/>
      <c r="K13" s="242"/>
      <c r="M13" s="48"/>
      <c r="N13" s="112"/>
      <c r="P13" s="245" t="s">
        <v>27</v>
      </c>
      <c r="Q13" s="246" t="s">
        <v>24</v>
      </c>
      <c r="R13" s="246" t="s">
        <v>28</v>
      </c>
      <c r="S13" s="307">
        <v>46032</v>
      </c>
      <c r="T13" s="307">
        <v>45667</v>
      </c>
      <c r="U13" s="307">
        <v>44931</v>
      </c>
      <c r="V13" s="307">
        <v>44558</v>
      </c>
      <c r="W13" s="305">
        <v>43902</v>
      </c>
    </row>
    <row r="14" spans="2:23" ht="15" customHeight="1">
      <c r="B14" s="406" t="s">
        <v>29</v>
      </c>
      <c r="C14" s="407"/>
      <c r="D14" s="242" t="s">
        <v>30</v>
      </c>
      <c r="E14" s="113"/>
      <c r="F14" s="406" t="s">
        <v>29</v>
      </c>
      <c r="G14" s="407"/>
      <c r="H14" s="407"/>
      <c r="I14" s="408"/>
      <c r="J14" s="409"/>
      <c r="K14" s="242" t="s">
        <v>30</v>
      </c>
      <c r="M14" s="48"/>
      <c r="N14" s="112"/>
      <c r="P14" s="392" t="s">
        <v>31</v>
      </c>
      <c r="Q14" s="393" t="s">
        <v>32</v>
      </c>
      <c r="R14" s="394" t="s">
        <v>33</v>
      </c>
      <c r="S14" s="306">
        <v>46030</v>
      </c>
      <c r="T14" s="306">
        <v>45646</v>
      </c>
      <c r="U14" s="313">
        <v>44931</v>
      </c>
      <c r="V14" s="306">
        <v>44574</v>
      </c>
      <c r="W14" s="304">
        <v>44187</v>
      </c>
    </row>
    <row r="15" spans="2:23" ht="15" customHeight="1">
      <c r="B15" s="406" t="s">
        <v>34</v>
      </c>
      <c r="C15" s="407"/>
      <c r="D15" s="242" t="s">
        <v>35</v>
      </c>
      <c r="E15" s="113"/>
      <c r="F15" s="406" t="s">
        <v>34</v>
      </c>
      <c r="G15" s="407"/>
      <c r="H15" s="407"/>
      <c r="I15" s="408"/>
      <c r="J15" s="409"/>
      <c r="K15" s="242" t="s">
        <v>35</v>
      </c>
      <c r="M15" s="48"/>
      <c r="N15" s="112"/>
      <c r="P15" s="392" t="s">
        <v>36</v>
      </c>
      <c r="Q15" s="393" t="s">
        <v>32</v>
      </c>
      <c r="R15" s="394" t="s">
        <v>37</v>
      </c>
      <c r="S15" s="306">
        <v>46030</v>
      </c>
      <c r="T15" s="306">
        <v>45646</v>
      </c>
      <c r="U15" s="313">
        <v>44931</v>
      </c>
      <c r="V15" s="306">
        <v>44574</v>
      </c>
      <c r="W15" s="304">
        <v>44187</v>
      </c>
    </row>
    <row r="16" spans="2:23" ht="15" customHeight="1">
      <c r="B16" s="406" t="s">
        <v>38</v>
      </c>
      <c r="C16" s="407"/>
      <c r="D16" s="243">
        <v>100</v>
      </c>
      <c r="E16" s="113"/>
      <c r="F16" s="406" t="s">
        <v>38</v>
      </c>
      <c r="G16" s="407"/>
      <c r="H16" s="407"/>
      <c r="I16" s="408"/>
      <c r="J16" s="409"/>
      <c r="K16" s="243">
        <v>35</v>
      </c>
      <c r="L16" s="132"/>
      <c r="M16" s="132"/>
      <c r="N16" s="112"/>
      <c r="P16" s="245" t="s">
        <v>39</v>
      </c>
      <c r="Q16" s="246" t="s">
        <v>24</v>
      </c>
      <c r="R16" s="246" t="s">
        <v>40</v>
      </c>
      <c r="S16" s="307">
        <v>46109</v>
      </c>
      <c r="T16" s="307" t="s">
        <v>41</v>
      </c>
      <c r="U16" s="307">
        <v>45012</v>
      </c>
      <c r="V16" s="307">
        <v>44642</v>
      </c>
      <c r="W16" s="305">
        <v>44225</v>
      </c>
    </row>
    <row r="17" spans="1:23" ht="15" customHeight="1">
      <c r="B17" s="406" t="s">
        <v>42</v>
      </c>
      <c r="C17" s="407"/>
      <c r="D17" s="243">
        <v>10</v>
      </c>
      <c r="E17" s="113"/>
      <c r="F17" s="406" t="s">
        <v>42</v>
      </c>
      <c r="G17" s="407"/>
      <c r="H17" s="407"/>
      <c r="I17" s="408"/>
      <c r="J17" s="409"/>
      <c r="K17" s="243">
        <v>3</v>
      </c>
      <c r="L17" s="132"/>
      <c r="P17" s="245" t="s">
        <v>43</v>
      </c>
      <c r="Q17" s="246" t="s">
        <v>24</v>
      </c>
      <c r="R17" s="246" t="s">
        <v>44</v>
      </c>
      <c r="S17" s="307">
        <v>46109</v>
      </c>
      <c r="T17" s="307" t="s">
        <v>41</v>
      </c>
      <c r="U17" s="307">
        <v>45012</v>
      </c>
      <c r="V17" s="307">
        <v>44642</v>
      </c>
      <c r="W17" s="305">
        <v>44225</v>
      </c>
    </row>
    <row r="18" spans="1:23">
      <c r="B18" s="406" t="s">
        <v>45</v>
      </c>
      <c r="C18" s="407"/>
      <c r="D18" s="243">
        <v>115</v>
      </c>
      <c r="E18" s="113"/>
      <c r="F18" s="406" t="s">
        <v>45</v>
      </c>
      <c r="G18" s="407"/>
      <c r="H18" s="407"/>
      <c r="I18" s="408"/>
      <c r="J18" s="409"/>
      <c r="K18" s="243">
        <v>150</v>
      </c>
      <c r="L18" s="132"/>
      <c r="M18" s="132"/>
      <c r="N18" s="112"/>
      <c r="T18" s="314" t="s">
        <v>46</v>
      </c>
      <c r="U18" s="76"/>
      <c r="V18" s="76"/>
    </row>
    <row r="19" spans="1:23" ht="13.5" customHeight="1" thickBot="1">
      <c r="B19" s="406" t="s">
        <v>47</v>
      </c>
      <c r="C19" s="407"/>
      <c r="D19" s="243">
        <v>110</v>
      </c>
      <c r="E19" s="113"/>
      <c r="F19" s="406" t="s">
        <v>47</v>
      </c>
      <c r="G19" s="407"/>
      <c r="H19" s="407"/>
      <c r="I19" s="408"/>
      <c r="J19" s="409"/>
      <c r="K19" s="243">
        <v>100</v>
      </c>
      <c r="L19" s="132"/>
      <c r="M19" s="132"/>
      <c r="N19" s="112"/>
    </row>
    <row r="20" spans="1:23" ht="13.5" customHeight="1" thickBot="1">
      <c r="B20" s="406" t="s">
        <v>48</v>
      </c>
      <c r="C20" s="407"/>
      <c r="D20" s="243">
        <v>20</v>
      </c>
      <c r="E20" s="113"/>
      <c r="F20" s="406" t="s">
        <v>48</v>
      </c>
      <c r="G20" s="407"/>
      <c r="H20" s="407"/>
      <c r="I20" s="408"/>
      <c r="J20" s="409"/>
      <c r="K20" s="242">
        <v>0</v>
      </c>
      <c r="M20" s="132"/>
      <c r="N20" s="112"/>
      <c r="R20" s="309" t="s">
        <v>49</v>
      </c>
      <c r="S20" s="311"/>
      <c r="T20" s="311"/>
      <c r="U20" s="310">
        <v>44929</v>
      </c>
    </row>
    <row r="21" spans="1:23">
      <c r="B21" s="406" t="s">
        <v>50</v>
      </c>
      <c r="C21" s="407"/>
      <c r="D21" s="243">
        <v>20</v>
      </c>
      <c r="E21" s="113"/>
      <c r="F21" s="406" t="s">
        <v>50</v>
      </c>
      <c r="G21" s="407"/>
      <c r="H21" s="407"/>
      <c r="I21" s="408"/>
      <c r="J21" s="409"/>
      <c r="K21" s="243">
        <v>0</v>
      </c>
      <c r="M21" s="48"/>
      <c r="N21" s="112"/>
    </row>
    <row r="22" spans="1:23">
      <c r="B22" s="240" t="s">
        <v>51</v>
      </c>
      <c r="C22" s="240"/>
      <c r="D22" s="243" t="s">
        <v>23</v>
      </c>
      <c r="E22" s="113"/>
      <c r="F22" s="240" t="s">
        <v>51</v>
      </c>
      <c r="G22" s="240"/>
      <c r="H22" s="240"/>
      <c r="I22" s="240"/>
      <c r="J22" s="240"/>
      <c r="K22" s="243" t="s">
        <v>23</v>
      </c>
      <c r="M22" s="48"/>
      <c r="N22" s="112"/>
    </row>
    <row r="23" spans="1:23" ht="18.75" customHeight="1" thickBot="1">
      <c r="B23" s="268" t="s">
        <v>52</v>
      </c>
      <c r="D23" s="271"/>
      <c r="F23" s="268" t="s">
        <v>52</v>
      </c>
      <c r="G23" s="107"/>
      <c r="H23" s="107"/>
      <c r="I23" s="108"/>
      <c r="J23" s="54"/>
      <c r="K23" s="271"/>
      <c r="L23" s="269"/>
      <c r="M23" s="269"/>
      <c r="N23" s="270"/>
    </row>
    <row r="24" spans="1:23" ht="15" customHeight="1">
      <c r="B24" s="422"/>
      <c r="C24" s="435" t="s">
        <v>53</v>
      </c>
      <c r="D24" s="436"/>
      <c r="E24" s="436"/>
      <c r="F24" s="134" t="s">
        <v>54</v>
      </c>
      <c r="G24" s="135"/>
      <c r="H24" s="135"/>
      <c r="I24" s="136" t="s">
        <v>55</v>
      </c>
      <c r="J24" s="137" t="s">
        <v>56</v>
      </c>
      <c r="K24" s="433" t="s">
        <v>57</v>
      </c>
      <c r="L24" s="434"/>
      <c r="M24" s="418" t="s">
        <v>58</v>
      </c>
      <c r="N24" s="419"/>
    </row>
    <row r="25" spans="1:23" ht="15" customHeight="1" thickBot="1">
      <c r="B25" s="423"/>
      <c r="C25" s="437"/>
      <c r="D25" s="437"/>
      <c r="E25" s="437"/>
      <c r="F25" s="138" t="s">
        <v>59</v>
      </c>
      <c r="G25" s="139"/>
      <c r="H25" s="139"/>
      <c r="I25" s="140" t="s">
        <v>59</v>
      </c>
      <c r="J25" s="141" t="s">
        <v>60</v>
      </c>
      <c r="K25" s="428" t="s">
        <v>61</v>
      </c>
      <c r="L25" s="429"/>
      <c r="M25" s="420"/>
      <c r="N25" s="421"/>
    </row>
    <row r="26" spans="1:23" ht="15" customHeight="1">
      <c r="B26" s="142" t="s">
        <v>62</v>
      </c>
      <c r="C26" s="426" t="s">
        <v>63</v>
      </c>
      <c r="D26" s="427"/>
      <c r="E26" s="417"/>
      <c r="F26" s="143">
        <v>415</v>
      </c>
      <c r="G26" s="144"/>
      <c r="H26" s="144"/>
      <c r="I26" s="145"/>
      <c r="J26" s="146">
        <v>26.02</v>
      </c>
      <c r="K26" s="404">
        <f t="shared" ref="K26:K45" si="0">F26/60*J26</f>
        <v>179.97166666666666</v>
      </c>
      <c r="L26" s="405"/>
      <c r="M26" s="416"/>
      <c r="N26" s="417"/>
    </row>
    <row r="27" spans="1:23" ht="15" customHeight="1">
      <c r="B27" s="142" t="s">
        <v>64</v>
      </c>
      <c r="C27" s="400" t="s">
        <v>65</v>
      </c>
      <c r="D27" s="401"/>
      <c r="E27" s="399"/>
      <c r="F27" s="143">
        <v>35</v>
      </c>
      <c r="G27" s="144"/>
      <c r="H27" s="144"/>
      <c r="I27" s="145"/>
      <c r="J27" s="146"/>
      <c r="K27" s="404">
        <f t="shared" si="0"/>
        <v>0</v>
      </c>
      <c r="L27" s="405"/>
      <c r="M27" s="398"/>
      <c r="N27" s="399"/>
    </row>
    <row r="28" spans="1:23" ht="15" customHeight="1">
      <c r="A28" s="48">
        <v>3</v>
      </c>
      <c r="B28" s="142" t="s">
        <v>66</v>
      </c>
      <c r="C28" s="400" t="s">
        <v>67</v>
      </c>
      <c r="D28" s="401"/>
      <c r="E28" s="399"/>
      <c r="F28" s="143">
        <v>30</v>
      </c>
      <c r="G28" s="144"/>
      <c r="H28" s="144"/>
      <c r="I28" s="145"/>
      <c r="J28" s="146"/>
      <c r="K28" s="404">
        <f t="shared" si="0"/>
        <v>0</v>
      </c>
      <c r="L28" s="405"/>
      <c r="M28" s="398"/>
      <c r="N28" s="399"/>
    </row>
    <row r="29" spans="1:23" ht="15" customHeight="1">
      <c r="B29" s="142" t="s">
        <v>68</v>
      </c>
      <c r="C29" s="400"/>
      <c r="D29" s="401"/>
      <c r="E29" s="399"/>
      <c r="F29" s="143"/>
      <c r="G29" s="144"/>
      <c r="H29" s="144"/>
      <c r="I29" s="145"/>
      <c r="J29" s="146"/>
      <c r="K29" s="404">
        <f t="shared" si="0"/>
        <v>0</v>
      </c>
      <c r="L29" s="405"/>
      <c r="M29" s="398"/>
      <c r="N29" s="399"/>
    </row>
    <row r="30" spans="1:23" ht="15" customHeight="1">
      <c r="B30" s="142" t="s">
        <v>69</v>
      </c>
      <c r="C30" s="400"/>
      <c r="D30" s="401"/>
      <c r="E30" s="399"/>
      <c r="F30" s="143"/>
      <c r="G30" s="144">
        <f t="shared" ref="G30:G45" si="1">F30</f>
        <v>0</v>
      </c>
      <c r="H30" s="144">
        <f t="shared" ref="H30:H46" si="2">PRODUCT(G30,1/60)</f>
        <v>0</v>
      </c>
      <c r="I30" s="145">
        <f t="shared" ref="I30:I45" si="3">ROUND(H30,2)</f>
        <v>0</v>
      </c>
      <c r="J30" s="146"/>
      <c r="K30" s="404">
        <f t="shared" si="0"/>
        <v>0</v>
      </c>
      <c r="L30" s="405"/>
      <c r="M30" s="398"/>
      <c r="N30" s="399"/>
    </row>
    <row r="31" spans="1:23" ht="15" customHeight="1">
      <c r="B31" s="142" t="s">
        <v>70</v>
      </c>
      <c r="C31" s="400"/>
      <c r="D31" s="401"/>
      <c r="E31" s="399"/>
      <c r="F31" s="143"/>
      <c r="G31" s="144">
        <f t="shared" si="1"/>
        <v>0</v>
      </c>
      <c r="H31" s="144">
        <f t="shared" si="2"/>
        <v>0</v>
      </c>
      <c r="I31" s="145">
        <f t="shared" si="3"/>
        <v>0</v>
      </c>
      <c r="J31" s="146"/>
      <c r="K31" s="404">
        <f t="shared" si="0"/>
        <v>0</v>
      </c>
      <c r="L31" s="405"/>
      <c r="M31" s="398"/>
      <c r="N31" s="399"/>
    </row>
    <row r="32" spans="1:23" ht="15" customHeight="1">
      <c r="B32" s="142" t="s">
        <v>71</v>
      </c>
      <c r="C32" s="400"/>
      <c r="D32" s="401"/>
      <c r="E32" s="399"/>
      <c r="F32" s="143"/>
      <c r="G32" s="144">
        <f t="shared" si="1"/>
        <v>0</v>
      </c>
      <c r="H32" s="144">
        <f t="shared" si="2"/>
        <v>0</v>
      </c>
      <c r="I32" s="145">
        <f t="shared" si="3"/>
        <v>0</v>
      </c>
      <c r="J32" s="146"/>
      <c r="K32" s="404">
        <f t="shared" si="0"/>
        <v>0</v>
      </c>
      <c r="L32" s="405"/>
      <c r="M32" s="398"/>
      <c r="N32" s="399"/>
    </row>
    <row r="33" spans="2:14" ht="15" customHeight="1">
      <c r="B33" s="142" t="s">
        <v>72</v>
      </c>
      <c r="C33" s="400"/>
      <c r="D33" s="401"/>
      <c r="E33" s="399"/>
      <c r="F33" s="143"/>
      <c r="G33" s="144">
        <f t="shared" si="1"/>
        <v>0</v>
      </c>
      <c r="H33" s="144">
        <f t="shared" si="2"/>
        <v>0</v>
      </c>
      <c r="I33" s="145">
        <f t="shared" si="3"/>
        <v>0</v>
      </c>
      <c r="J33" s="146"/>
      <c r="K33" s="404">
        <f t="shared" si="0"/>
        <v>0</v>
      </c>
      <c r="L33" s="405"/>
      <c r="M33" s="398"/>
      <c r="N33" s="399"/>
    </row>
    <row r="34" spans="2:14" ht="15" customHeight="1">
      <c r="B34" s="142" t="s">
        <v>73</v>
      </c>
      <c r="C34" s="400"/>
      <c r="D34" s="401"/>
      <c r="E34" s="399"/>
      <c r="F34" s="143"/>
      <c r="G34" s="144">
        <f t="shared" si="1"/>
        <v>0</v>
      </c>
      <c r="H34" s="144">
        <f t="shared" si="2"/>
        <v>0</v>
      </c>
      <c r="I34" s="145">
        <f t="shared" si="3"/>
        <v>0</v>
      </c>
      <c r="J34" s="146"/>
      <c r="K34" s="404">
        <f t="shared" si="0"/>
        <v>0</v>
      </c>
      <c r="L34" s="405"/>
      <c r="M34" s="398"/>
      <c r="N34" s="399"/>
    </row>
    <row r="35" spans="2:14" ht="15" customHeight="1">
      <c r="B35" s="142" t="s">
        <v>74</v>
      </c>
      <c r="C35" s="400"/>
      <c r="D35" s="401"/>
      <c r="E35" s="399"/>
      <c r="F35" s="143"/>
      <c r="G35" s="144">
        <f t="shared" si="1"/>
        <v>0</v>
      </c>
      <c r="H35" s="144">
        <f t="shared" si="2"/>
        <v>0</v>
      </c>
      <c r="I35" s="145">
        <f t="shared" si="3"/>
        <v>0</v>
      </c>
      <c r="J35" s="146"/>
      <c r="K35" s="404">
        <f t="shared" si="0"/>
        <v>0</v>
      </c>
      <c r="L35" s="405"/>
      <c r="M35" s="398"/>
      <c r="N35" s="399"/>
    </row>
    <row r="36" spans="2:14" ht="15" customHeight="1">
      <c r="B36" s="142" t="s">
        <v>75</v>
      </c>
      <c r="C36" s="400"/>
      <c r="D36" s="401"/>
      <c r="E36" s="399"/>
      <c r="F36" s="143"/>
      <c r="G36" s="144">
        <f t="shared" si="1"/>
        <v>0</v>
      </c>
      <c r="H36" s="144">
        <f t="shared" si="2"/>
        <v>0</v>
      </c>
      <c r="I36" s="145">
        <f t="shared" si="3"/>
        <v>0</v>
      </c>
      <c r="J36" s="146"/>
      <c r="K36" s="404">
        <f t="shared" si="0"/>
        <v>0</v>
      </c>
      <c r="L36" s="405"/>
      <c r="M36" s="398"/>
      <c r="N36" s="399"/>
    </row>
    <row r="37" spans="2:14" ht="15" customHeight="1">
      <c r="B37" s="142" t="s">
        <v>76</v>
      </c>
      <c r="C37" s="400"/>
      <c r="D37" s="401"/>
      <c r="E37" s="399"/>
      <c r="F37" s="143"/>
      <c r="G37" s="144">
        <f t="shared" si="1"/>
        <v>0</v>
      </c>
      <c r="H37" s="144">
        <f t="shared" si="2"/>
        <v>0</v>
      </c>
      <c r="I37" s="145">
        <f t="shared" si="3"/>
        <v>0</v>
      </c>
      <c r="J37" s="146"/>
      <c r="K37" s="404">
        <f t="shared" si="0"/>
        <v>0</v>
      </c>
      <c r="L37" s="405"/>
      <c r="M37" s="398"/>
      <c r="N37" s="399"/>
    </row>
    <row r="38" spans="2:14" ht="15" customHeight="1">
      <c r="B38" s="142" t="s">
        <v>77</v>
      </c>
      <c r="C38" s="400"/>
      <c r="D38" s="401"/>
      <c r="E38" s="399"/>
      <c r="F38" s="143"/>
      <c r="G38" s="144">
        <f t="shared" si="1"/>
        <v>0</v>
      </c>
      <c r="H38" s="144">
        <f t="shared" si="2"/>
        <v>0</v>
      </c>
      <c r="I38" s="145">
        <f t="shared" si="3"/>
        <v>0</v>
      </c>
      <c r="J38" s="146"/>
      <c r="K38" s="404">
        <f t="shared" si="0"/>
        <v>0</v>
      </c>
      <c r="L38" s="405"/>
      <c r="M38" s="398"/>
      <c r="N38" s="399"/>
    </row>
    <row r="39" spans="2:14" ht="15" customHeight="1">
      <c r="B39" s="142" t="s">
        <v>78</v>
      </c>
      <c r="C39" s="400"/>
      <c r="D39" s="401"/>
      <c r="E39" s="399"/>
      <c r="F39" s="143"/>
      <c r="G39" s="144">
        <f t="shared" si="1"/>
        <v>0</v>
      </c>
      <c r="H39" s="144">
        <f t="shared" si="2"/>
        <v>0</v>
      </c>
      <c r="I39" s="145">
        <f t="shared" si="3"/>
        <v>0</v>
      </c>
      <c r="J39" s="146"/>
      <c r="K39" s="404">
        <f t="shared" si="0"/>
        <v>0</v>
      </c>
      <c r="L39" s="405"/>
      <c r="M39" s="398"/>
      <c r="N39" s="399"/>
    </row>
    <row r="40" spans="2:14" ht="15" customHeight="1">
      <c r="B40" s="142" t="s">
        <v>79</v>
      </c>
      <c r="C40" s="400"/>
      <c r="D40" s="401"/>
      <c r="E40" s="399"/>
      <c r="F40" s="143"/>
      <c r="G40" s="144">
        <f t="shared" si="1"/>
        <v>0</v>
      </c>
      <c r="H40" s="144">
        <f t="shared" si="2"/>
        <v>0</v>
      </c>
      <c r="I40" s="145">
        <f t="shared" si="3"/>
        <v>0</v>
      </c>
      <c r="J40" s="146"/>
      <c r="K40" s="404">
        <f t="shared" si="0"/>
        <v>0</v>
      </c>
      <c r="L40" s="405"/>
      <c r="M40" s="398"/>
      <c r="N40" s="399"/>
    </row>
    <row r="41" spans="2:14" ht="15" customHeight="1">
      <c r="B41" s="142" t="s">
        <v>80</v>
      </c>
      <c r="C41" s="400"/>
      <c r="D41" s="401"/>
      <c r="E41" s="399"/>
      <c r="F41" s="143"/>
      <c r="G41" s="144">
        <f t="shared" si="1"/>
        <v>0</v>
      </c>
      <c r="H41" s="144">
        <f t="shared" si="2"/>
        <v>0</v>
      </c>
      <c r="I41" s="145">
        <f t="shared" si="3"/>
        <v>0</v>
      </c>
      <c r="J41" s="146"/>
      <c r="K41" s="404">
        <f t="shared" si="0"/>
        <v>0</v>
      </c>
      <c r="L41" s="405"/>
      <c r="M41" s="398"/>
      <c r="N41" s="399"/>
    </row>
    <row r="42" spans="2:14" ht="15" customHeight="1">
      <c r="B42" s="142" t="s">
        <v>81</v>
      </c>
      <c r="C42" s="400"/>
      <c r="D42" s="401"/>
      <c r="E42" s="399"/>
      <c r="F42" s="143"/>
      <c r="G42" s="144">
        <f t="shared" si="1"/>
        <v>0</v>
      </c>
      <c r="H42" s="144">
        <f t="shared" si="2"/>
        <v>0</v>
      </c>
      <c r="I42" s="145">
        <f t="shared" si="3"/>
        <v>0</v>
      </c>
      <c r="J42" s="146"/>
      <c r="K42" s="404">
        <f t="shared" si="0"/>
        <v>0</v>
      </c>
      <c r="L42" s="405"/>
      <c r="M42" s="398"/>
      <c r="N42" s="399"/>
    </row>
    <row r="43" spans="2:14" ht="15" customHeight="1">
      <c r="B43" s="142" t="s">
        <v>82</v>
      </c>
      <c r="C43" s="400"/>
      <c r="D43" s="401"/>
      <c r="E43" s="399"/>
      <c r="F43" s="143"/>
      <c r="G43" s="144">
        <f t="shared" si="1"/>
        <v>0</v>
      </c>
      <c r="H43" s="144">
        <f t="shared" si="2"/>
        <v>0</v>
      </c>
      <c r="I43" s="145">
        <f t="shared" si="3"/>
        <v>0</v>
      </c>
      <c r="J43" s="146"/>
      <c r="K43" s="404">
        <f t="shared" si="0"/>
        <v>0</v>
      </c>
      <c r="L43" s="405"/>
      <c r="M43" s="398"/>
      <c r="N43" s="399"/>
    </row>
    <row r="44" spans="2:14" ht="15" customHeight="1">
      <c r="B44" s="142" t="s">
        <v>83</v>
      </c>
      <c r="C44" s="400"/>
      <c r="D44" s="401"/>
      <c r="E44" s="399"/>
      <c r="F44" s="143"/>
      <c r="G44" s="144">
        <f t="shared" si="1"/>
        <v>0</v>
      </c>
      <c r="H44" s="144">
        <f t="shared" si="2"/>
        <v>0</v>
      </c>
      <c r="I44" s="145">
        <f t="shared" si="3"/>
        <v>0</v>
      </c>
      <c r="J44" s="146"/>
      <c r="K44" s="404">
        <f t="shared" si="0"/>
        <v>0</v>
      </c>
      <c r="L44" s="405"/>
      <c r="M44" s="398"/>
      <c r="N44" s="399"/>
    </row>
    <row r="45" spans="2:14" ht="15" customHeight="1" thickBot="1">
      <c r="B45" s="142" t="s">
        <v>84</v>
      </c>
      <c r="C45" s="395" t="s">
        <v>85</v>
      </c>
      <c r="D45" s="396"/>
      <c r="E45" s="397"/>
      <c r="F45" s="143">
        <v>30</v>
      </c>
      <c r="G45" s="144">
        <f t="shared" si="1"/>
        <v>30</v>
      </c>
      <c r="H45" s="144">
        <f t="shared" si="2"/>
        <v>0.5</v>
      </c>
      <c r="I45" s="145">
        <f t="shared" si="3"/>
        <v>0.5</v>
      </c>
      <c r="J45" s="146"/>
      <c r="K45" s="414">
        <f t="shared" si="0"/>
        <v>0</v>
      </c>
      <c r="L45" s="415"/>
      <c r="M45" s="431"/>
      <c r="N45" s="397"/>
    </row>
    <row r="46" spans="2:14" ht="20.100000000000001" customHeight="1" thickBot="1">
      <c r="B46" s="412" t="s">
        <v>86</v>
      </c>
      <c r="C46" s="411"/>
      <c r="D46" s="411"/>
      <c r="E46" s="413"/>
      <c r="F46" s="147">
        <f>SUM(F26:F45)</f>
        <v>510</v>
      </c>
      <c r="G46" s="148">
        <f>SUM(G26:G45)</f>
        <v>30</v>
      </c>
      <c r="H46" s="148">
        <f t="shared" si="2"/>
        <v>0.5</v>
      </c>
      <c r="I46" s="149">
        <f>SUM(I26:I45)</f>
        <v>0.5</v>
      </c>
      <c r="J46" s="150"/>
      <c r="K46" s="410"/>
      <c r="L46" s="411"/>
      <c r="M46" s="402"/>
      <c r="N46" s="403"/>
    </row>
    <row r="53" spans="2:20">
      <c r="T53" s="48" t="s">
        <v>35</v>
      </c>
    </row>
    <row r="54" spans="2:20">
      <c r="T54" s="48" t="s">
        <v>87</v>
      </c>
    </row>
    <row r="55" spans="2:20">
      <c r="T55" s="48" t="s">
        <v>88</v>
      </c>
    </row>
    <row r="56" spans="2:20">
      <c r="T56" s="48" t="s">
        <v>30</v>
      </c>
    </row>
    <row r="64" spans="2:20">
      <c r="B64" s="151"/>
      <c r="O64" s="111"/>
    </row>
  </sheetData>
  <mergeCells count="92">
    <mergeCell ref="C44:E44"/>
    <mergeCell ref="K24:L24"/>
    <mergeCell ref="C31:E31"/>
    <mergeCell ref="K33:L33"/>
    <mergeCell ref="C40:E40"/>
    <mergeCell ref="K26:L26"/>
    <mergeCell ref="C24:E25"/>
    <mergeCell ref="K35:L35"/>
    <mergeCell ref="M45:N45"/>
    <mergeCell ref="C34:E34"/>
    <mergeCell ref="C42:E42"/>
    <mergeCell ref="B1:N1"/>
    <mergeCell ref="K28:L28"/>
    <mergeCell ref="K37:L37"/>
    <mergeCell ref="K30:L30"/>
    <mergeCell ref="B16:C16"/>
    <mergeCell ref="M44:N44"/>
    <mergeCell ref="B18:C18"/>
    <mergeCell ref="F21:J21"/>
    <mergeCell ref="K32:L32"/>
    <mergeCell ref="C39:E39"/>
    <mergeCell ref="K41:L41"/>
    <mergeCell ref="C32:E32"/>
    <mergeCell ref="C38:E38"/>
    <mergeCell ref="K43:L43"/>
    <mergeCell ref="K27:L27"/>
    <mergeCell ref="M27:N27"/>
    <mergeCell ref="M41:N41"/>
    <mergeCell ref="C33:E33"/>
    <mergeCell ref="M34:N34"/>
    <mergeCell ref="K42:L42"/>
    <mergeCell ref="M36:N36"/>
    <mergeCell ref="M33:N33"/>
    <mergeCell ref="M43:N43"/>
    <mergeCell ref="M35:N35"/>
    <mergeCell ref="C35:E35"/>
    <mergeCell ref="F14:J14"/>
    <mergeCell ref="K25:L25"/>
    <mergeCell ref="F12:J12"/>
    <mergeCell ref="F11:L11"/>
    <mergeCell ref="B13:C13"/>
    <mergeCell ref="F17:J17"/>
    <mergeCell ref="B15:C15"/>
    <mergeCell ref="B11:D11"/>
    <mergeCell ref="F19:J19"/>
    <mergeCell ref="B12:C12"/>
    <mergeCell ref="B21:C21"/>
    <mergeCell ref="F18:J18"/>
    <mergeCell ref="B14:C14"/>
    <mergeCell ref="C27:E27"/>
    <mergeCell ref="F20:J20"/>
    <mergeCell ref="B24:B25"/>
    <mergeCell ref="K10:L10"/>
    <mergeCell ref="C26:E26"/>
    <mergeCell ref="B17:C17"/>
    <mergeCell ref="B19:C19"/>
    <mergeCell ref="M26:N26"/>
    <mergeCell ref="B20:C20"/>
    <mergeCell ref="F16:J16"/>
    <mergeCell ref="M24:N25"/>
    <mergeCell ref="F13:J13"/>
    <mergeCell ref="K38:L38"/>
    <mergeCell ref="K46:L46"/>
    <mergeCell ref="M31:N31"/>
    <mergeCell ref="K40:L40"/>
    <mergeCell ref="M40:N40"/>
    <mergeCell ref="M37:N37"/>
    <mergeCell ref="M29:N29"/>
    <mergeCell ref="M38:N38"/>
    <mergeCell ref="K34:L34"/>
    <mergeCell ref="K36:L36"/>
    <mergeCell ref="M30:N30"/>
    <mergeCell ref="K45:L45"/>
    <mergeCell ref="M39:N39"/>
    <mergeCell ref="K29:L29"/>
    <mergeCell ref="F15:J15"/>
    <mergeCell ref="C45:E45"/>
    <mergeCell ref="M32:N32"/>
    <mergeCell ref="C29:E29"/>
    <mergeCell ref="M46:N46"/>
    <mergeCell ref="M28:N28"/>
    <mergeCell ref="M42:N42"/>
    <mergeCell ref="K39:L39"/>
    <mergeCell ref="C28:E28"/>
    <mergeCell ref="C37:E37"/>
    <mergeCell ref="C30:E30"/>
    <mergeCell ref="C41:E41"/>
    <mergeCell ref="C43:E43"/>
    <mergeCell ref="B46:E46"/>
    <mergeCell ref="C36:E36"/>
    <mergeCell ref="K44:L44"/>
    <mergeCell ref="K31:L31"/>
  </mergeCells>
  <dataValidations count="3">
    <dataValidation type="list" allowBlank="1" showInputMessage="1" showErrorMessage="1" sqref="D22 K22" xr:uid="{00000000-0002-0000-0000-000000000000}">
      <formula1>$P$12:$P$17</formula1>
    </dataValidation>
    <dataValidation type="list" allowBlank="1" showInputMessage="1" showErrorMessage="1" sqref="D15 K15" xr:uid="{00000000-0002-0000-0000-000001000000}">
      <formula1>$T$53:$T$54</formula1>
    </dataValidation>
    <dataValidation type="list" allowBlank="1" showInputMessage="1" showErrorMessage="1" sqref="D14 K14" xr:uid="{00000000-0002-0000-0000-000002000000}">
      <formula1>$T$55:$T$56</formula1>
    </dataValidation>
  </dataValidations>
  <pageMargins left="0.59055118110236227" right="0.59055118110236227" top="0.56000000000000005" bottom="0.61" header="0.35" footer="0.51181102362204722"/>
  <pageSetup paperSize="9" scale="84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27"/>
  <dimension ref="B10:C12"/>
  <sheetViews>
    <sheetView workbookViewId="0"/>
  </sheetViews>
  <sheetFormatPr defaultRowHeight="13.2"/>
  <cols>
    <col min="2" max="3" width="10.88671875" customWidth="1"/>
  </cols>
  <sheetData>
    <row r="10" spans="2:3">
      <c r="B10" t="s">
        <v>89</v>
      </c>
      <c r="C10" t="s">
        <v>89</v>
      </c>
    </row>
    <row r="11" spans="2:3" ht="13.8">
      <c r="B11" s="48" t="s">
        <v>30</v>
      </c>
      <c r="C11" s="48" t="s">
        <v>90</v>
      </c>
    </row>
    <row r="12" spans="2:3" ht="13.8">
      <c r="B12" s="48" t="s">
        <v>88</v>
      </c>
      <c r="C12" s="48" t="s">
        <v>91</v>
      </c>
    </row>
  </sheetData>
  <dataValidations count="1">
    <dataValidation type="list" showInputMessage="1" showErrorMessage="1" sqref="B11:B12" xr:uid="{00000000-0002-0000-0100-000000000000}">
      <formula1>$B$11:$B$12</formula1>
    </dataValidation>
  </dataValidations>
  <pageMargins left="0.7" right="0.7" top="0.78740157499999996" bottom="0.78740157499999996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>
    <tabColor rgb="FFFF0000"/>
  </sheetPr>
  <dimension ref="A1:K21"/>
  <sheetViews>
    <sheetView workbookViewId="0"/>
  </sheetViews>
  <sheetFormatPr defaultColWidth="8.88671875" defaultRowHeight="13.8"/>
  <cols>
    <col min="1" max="1" width="8.88671875" style="153" customWidth="1"/>
    <col min="2" max="2" width="35.44140625" style="153" customWidth="1"/>
    <col min="3" max="3" width="8.88671875" style="153" customWidth="1"/>
    <col min="4" max="16384" width="8.88671875" style="153"/>
  </cols>
  <sheetData>
    <row r="1" spans="1:11" ht="13.5" customHeight="1" thickBot="1">
      <c r="A1" s="152" t="s">
        <v>92</v>
      </c>
      <c r="B1" s="152" t="s">
        <v>93</v>
      </c>
      <c r="C1" s="152" t="s">
        <v>94</v>
      </c>
      <c r="D1" s="152" t="s">
        <v>95</v>
      </c>
      <c r="E1" s="152" t="s">
        <v>96</v>
      </c>
      <c r="F1" s="152" t="s">
        <v>97</v>
      </c>
    </row>
    <row r="2" spans="1:11">
      <c r="A2" s="153" t="s">
        <v>98</v>
      </c>
      <c r="B2" s="153" t="str">
        <f>'Časový snímek'!C26</f>
        <v>Zakládání</v>
      </c>
      <c r="C2" s="239">
        <v>0</v>
      </c>
      <c r="D2" s="239">
        <v>0</v>
      </c>
      <c r="E2" s="239">
        <v>0</v>
      </c>
      <c r="F2" s="239">
        <v>0</v>
      </c>
      <c r="H2" s="154">
        <f t="shared" ref="H2:H11" si="0">ROUND(C2,1)</f>
        <v>0</v>
      </c>
      <c r="I2" s="155">
        <f t="shared" ref="I2:I11" si="1">ROUND(D2,1)</f>
        <v>0</v>
      </c>
      <c r="J2" s="155">
        <f t="shared" ref="J2:J11" si="2">ROUND(E2,1)</f>
        <v>0</v>
      </c>
      <c r="K2" s="156">
        <f t="shared" ref="K2:K11" si="3">ROUND(F2,1)</f>
        <v>0</v>
      </c>
    </row>
    <row r="3" spans="1:11">
      <c r="A3" s="153" t="s">
        <v>98</v>
      </c>
      <c r="B3" s="153" t="str">
        <f>'Časový snímek'!C27</f>
        <v>Bezpečnostní přestávka</v>
      </c>
      <c r="C3" s="239">
        <v>0</v>
      </c>
      <c r="D3" s="239">
        <v>0</v>
      </c>
      <c r="E3" s="239">
        <v>0</v>
      </c>
      <c r="F3" s="239">
        <v>0</v>
      </c>
      <c r="H3" s="157">
        <f t="shared" si="0"/>
        <v>0</v>
      </c>
      <c r="I3" s="158">
        <f t="shared" si="1"/>
        <v>0</v>
      </c>
      <c r="J3" s="158">
        <f t="shared" si="2"/>
        <v>0</v>
      </c>
      <c r="K3" s="159">
        <f t="shared" si="3"/>
        <v>0</v>
      </c>
    </row>
    <row r="4" spans="1:11">
      <c r="A4" s="153" t="s">
        <v>98</v>
      </c>
      <c r="B4" s="153" t="str">
        <f>'Časový snímek'!C28</f>
        <v>Přestávka na jídlo a oddech</v>
      </c>
      <c r="C4" s="239">
        <v>0</v>
      </c>
      <c r="D4" s="239">
        <v>0</v>
      </c>
      <c r="E4" s="239">
        <v>0</v>
      </c>
      <c r="F4" s="239">
        <v>0</v>
      </c>
      <c r="H4" s="157">
        <f t="shared" si="0"/>
        <v>0</v>
      </c>
      <c r="I4" s="158">
        <f t="shared" si="1"/>
        <v>0</v>
      </c>
      <c r="J4" s="158">
        <f t="shared" si="2"/>
        <v>0</v>
      </c>
      <c r="K4" s="159">
        <f t="shared" si="3"/>
        <v>0</v>
      </c>
    </row>
    <row r="5" spans="1:11">
      <c r="A5" s="153" t="s">
        <v>98</v>
      </c>
      <c r="B5" s="160">
        <f>'Časový snímek'!C29</f>
        <v>0</v>
      </c>
      <c r="C5" s="239">
        <v>0</v>
      </c>
      <c r="D5" s="239">
        <v>0</v>
      </c>
      <c r="E5" s="239">
        <v>0</v>
      </c>
      <c r="F5" s="239">
        <v>0</v>
      </c>
      <c r="H5" s="157">
        <f t="shared" si="0"/>
        <v>0</v>
      </c>
      <c r="I5" s="158">
        <f t="shared" si="1"/>
        <v>0</v>
      </c>
      <c r="J5" s="158">
        <f t="shared" si="2"/>
        <v>0</v>
      </c>
      <c r="K5" s="159">
        <f t="shared" si="3"/>
        <v>0</v>
      </c>
    </row>
    <row r="6" spans="1:11">
      <c r="A6" s="153" t="s">
        <v>98</v>
      </c>
      <c r="B6" s="160">
        <f>'Časový snímek'!C30</f>
        <v>0</v>
      </c>
      <c r="C6" s="239">
        <v>0</v>
      </c>
      <c r="D6" s="239">
        <v>0</v>
      </c>
      <c r="E6" s="239">
        <v>0</v>
      </c>
      <c r="F6" s="239">
        <v>0</v>
      </c>
      <c r="H6" s="157">
        <f t="shared" si="0"/>
        <v>0</v>
      </c>
      <c r="I6" s="158">
        <f t="shared" si="1"/>
        <v>0</v>
      </c>
      <c r="J6" s="158">
        <f t="shared" si="2"/>
        <v>0</v>
      </c>
      <c r="K6" s="159">
        <f t="shared" si="3"/>
        <v>0</v>
      </c>
    </row>
    <row r="7" spans="1:11">
      <c r="A7" s="153" t="s">
        <v>98</v>
      </c>
      <c r="B7" s="160">
        <f>'Časový snímek'!C31</f>
        <v>0</v>
      </c>
      <c r="C7" s="239">
        <v>0</v>
      </c>
      <c r="D7" s="239">
        <v>0</v>
      </c>
      <c r="E7" s="239">
        <v>0</v>
      </c>
      <c r="F7" s="239">
        <v>0</v>
      </c>
      <c r="H7" s="157">
        <f t="shared" si="0"/>
        <v>0</v>
      </c>
      <c r="I7" s="158">
        <f t="shared" si="1"/>
        <v>0</v>
      </c>
      <c r="J7" s="158">
        <f t="shared" si="2"/>
        <v>0</v>
      </c>
      <c r="K7" s="159">
        <f t="shared" si="3"/>
        <v>0</v>
      </c>
    </row>
    <row r="8" spans="1:11">
      <c r="A8" s="153" t="s">
        <v>98</v>
      </c>
      <c r="B8" s="160">
        <f>'Časový snímek'!C32</f>
        <v>0</v>
      </c>
      <c r="C8" s="239">
        <v>0</v>
      </c>
      <c r="D8" s="239">
        <v>0</v>
      </c>
      <c r="E8" s="239">
        <v>0</v>
      </c>
      <c r="F8" s="239">
        <v>0</v>
      </c>
      <c r="H8" s="157">
        <f t="shared" si="0"/>
        <v>0</v>
      </c>
      <c r="I8" s="158">
        <f t="shared" si="1"/>
        <v>0</v>
      </c>
      <c r="J8" s="158">
        <f t="shared" si="2"/>
        <v>0</v>
      </c>
      <c r="K8" s="159">
        <f t="shared" si="3"/>
        <v>0</v>
      </c>
    </row>
    <row r="9" spans="1:11">
      <c r="A9" s="153" t="s">
        <v>98</v>
      </c>
      <c r="B9" s="160">
        <f>'Časový snímek'!C33</f>
        <v>0</v>
      </c>
      <c r="C9" s="239">
        <v>0</v>
      </c>
      <c r="D9" s="239">
        <v>0</v>
      </c>
      <c r="E9" s="239">
        <v>0</v>
      </c>
      <c r="F9" s="239">
        <v>0</v>
      </c>
      <c r="H9" s="157">
        <f t="shared" si="0"/>
        <v>0</v>
      </c>
      <c r="I9" s="158">
        <f t="shared" si="1"/>
        <v>0</v>
      </c>
      <c r="J9" s="158">
        <f t="shared" si="2"/>
        <v>0</v>
      </c>
      <c r="K9" s="159">
        <f t="shared" si="3"/>
        <v>0</v>
      </c>
    </row>
    <row r="10" spans="1:11">
      <c r="A10" s="153" t="s">
        <v>98</v>
      </c>
      <c r="B10" s="160">
        <f>'Časový snímek'!C34</f>
        <v>0</v>
      </c>
      <c r="C10" s="239">
        <v>0</v>
      </c>
      <c r="D10" s="239">
        <v>0</v>
      </c>
      <c r="E10" s="239">
        <v>0</v>
      </c>
      <c r="F10" s="239">
        <v>0</v>
      </c>
      <c r="H10" s="157">
        <f t="shared" si="0"/>
        <v>0</v>
      </c>
      <c r="I10" s="158">
        <f t="shared" si="1"/>
        <v>0</v>
      </c>
      <c r="J10" s="158">
        <f t="shared" si="2"/>
        <v>0</v>
      </c>
      <c r="K10" s="159">
        <f t="shared" si="3"/>
        <v>0</v>
      </c>
    </row>
    <row r="11" spans="1:11" ht="13.5" customHeight="1" thickBot="1">
      <c r="A11" s="153" t="s">
        <v>98</v>
      </c>
      <c r="B11" s="160">
        <f>'Časový snímek'!C35</f>
        <v>0</v>
      </c>
      <c r="C11" s="239">
        <v>0</v>
      </c>
      <c r="D11" s="239">
        <v>0</v>
      </c>
      <c r="E11" s="239">
        <v>0</v>
      </c>
      <c r="F11" s="239">
        <v>0</v>
      </c>
      <c r="H11" s="161">
        <f t="shared" si="0"/>
        <v>0</v>
      </c>
      <c r="I11" s="162">
        <f t="shared" si="1"/>
        <v>0</v>
      </c>
      <c r="J11" s="162">
        <f t="shared" si="2"/>
        <v>0</v>
      </c>
      <c r="K11" s="163">
        <f t="shared" si="3"/>
        <v>0</v>
      </c>
    </row>
    <row r="12" spans="1:11">
      <c r="A12" s="164" t="s">
        <v>99</v>
      </c>
      <c r="B12" s="164" t="s">
        <v>100</v>
      </c>
      <c r="C12" s="164">
        <v>9.61</v>
      </c>
      <c r="D12" s="165">
        <v>6.91</v>
      </c>
      <c r="E12" s="164">
        <v>8.09</v>
      </c>
      <c r="F12" s="164">
        <v>6.1</v>
      </c>
      <c r="K12" s="166"/>
    </row>
    <row r="13" spans="1:11">
      <c r="D13" s="166"/>
      <c r="K13" s="166"/>
    </row>
    <row r="14" spans="1:11">
      <c r="D14" s="166"/>
      <c r="K14" s="166"/>
    </row>
    <row r="15" spans="1:11">
      <c r="D15" s="166"/>
      <c r="K15" s="166"/>
    </row>
    <row r="16" spans="1:11">
      <c r="D16" s="166"/>
      <c r="K16" s="166"/>
    </row>
    <row r="17" spans="3:11">
      <c r="D17" s="166"/>
      <c r="K17" s="166"/>
    </row>
    <row r="18" spans="3:11">
      <c r="C18" s="158"/>
      <c r="D18" s="167"/>
      <c r="E18" s="158"/>
      <c r="F18" s="158"/>
      <c r="K18" s="166"/>
    </row>
    <row r="19" spans="3:11">
      <c r="C19" s="158"/>
      <c r="D19" s="167"/>
      <c r="E19" s="158"/>
      <c r="F19" s="158"/>
      <c r="K19" s="166"/>
    </row>
    <row r="20" spans="3:11">
      <c r="C20" s="158"/>
      <c r="D20" s="167"/>
      <c r="E20" s="158"/>
      <c r="F20" s="158"/>
      <c r="K20" s="166"/>
    </row>
    <row r="21" spans="3:11">
      <c r="D21" s="166"/>
      <c r="K21" s="166"/>
    </row>
  </sheetData>
  <conditionalFormatting sqref="H2:K11">
    <cfRule type="cellIs" dxfId="2" priority="1" operator="greaterThan">
      <formula>0</formula>
    </cfRule>
  </conditionalFormatting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akro1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Makro2">
                <anchor moveWithCells="1" sizeWithCells="1">
                  <from>
                    <xdr:col>2</xdr:col>
                    <xdr:colOff>7620</xdr:colOff>
                    <xdr:row>16</xdr:row>
                    <xdr:rowOff>15240</xdr:rowOff>
                  </from>
                  <to>
                    <xdr:col>6</xdr:col>
                    <xdr:colOff>0</xdr:colOff>
                    <xdr:row>18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5">
    <tabColor rgb="FFFF0000"/>
  </sheetPr>
  <dimension ref="A1:W49"/>
  <sheetViews>
    <sheetView workbookViewId="0">
      <selection activeCell="C31" sqref="C31"/>
    </sheetView>
  </sheetViews>
  <sheetFormatPr defaultColWidth="9.109375" defaultRowHeight="13.8"/>
  <cols>
    <col min="1" max="1" width="2.44140625" style="209" customWidth="1"/>
    <col min="2" max="2" width="5.88671875" style="209" customWidth="1"/>
    <col min="3" max="5" width="4" style="209" bestFit="1" customWidth="1"/>
    <col min="6" max="11" width="3.6640625" style="209" customWidth="1"/>
    <col min="12" max="14" width="4" style="209" bestFit="1" customWidth="1"/>
    <col min="15" max="20" width="3.6640625" style="209" customWidth="1"/>
    <col min="21" max="21" width="18.5546875" style="209" customWidth="1"/>
    <col min="22" max="22" width="9.5546875" style="211" customWidth="1"/>
    <col min="23" max="23" width="0.44140625" style="209" customWidth="1"/>
    <col min="24" max="24" width="9.109375" style="209" customWidth="1"/>
    <col min="25" max="16384" width="9.109375" style="209"/>
  </cols>
  <sheetData>
    <row r="1" spans="1:23" ht="31.5" customHeight="1" thickBot="1">
      <c r="B1" s="446" t="s">
        <v>101</v>
      </c>
      <c r="C1" s="447"/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  <c r="Q1" s="447"/>
      <c r="R1" s="447"/>
      <c r="S1" s="447"/>
      <c r="T1" s="447"/>
      <c r="U1" s="447"/>
      <c r="V1" s="448"/>
    </row>
    <row r="2" spans="1:23" s="210" customFormat="1" ht="28.5" customHeight="1" thickBot="1">
      <c r="B2" s="450" t="s">
        <v>102</v>
      </c>
      <c r="C2" s="411"/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03"/>
    </row>
    <row r="3" spans="1:23" ht="11.25" customHeight="1" thickBot="1"/>
    <row r="4" spans="1:23" ht="24.75" customHeight="1" thickBot="1">
      <c r="B4" s="212" t="s">
        <v>32</v>
      </c>
      <c r="C4" s="451" t="s">
        <v>103</v>
      </c>
      <c r="D4" s="411"/>
      <c r="E4" s="411"/>
      <c r="F4" s="411"/>
      <c r="G4" s="411"/>
      <c r="H4" s="411"/>
      <c r="I4" s="411"/>
      <c r="J4" s="411"/>
      <c r="K4" s="411"/>
      <c r="L4" s="443" t="s">
        <v>104</v>
      </c>
      <c r="M4" s="411"/>
      <c r="N4" s="411"/>
      <c r="O4" s="411"/>
      <c r="P4" s="411"/>
      <c r="Q4" s="411"/>
      <c r="R4" s="411"/>
      <c r="S4" s="411"/>
      <c r="T4" s="411"/>
      <c r="U4" s="213" t="s">
        <v>98</v>
      </c>
      <c r="V4" s="214" t="s">
        <v>105</v>
      </c>
    </row>
    <row r="5" spans="1:23" ht="15" customHeight="1">
      <c r="A5" s="215">
        <v>1</v>
      </c>
      <c r="B5" s="216" t="s">
        <v>106</v>
      </c>
      <c r="C5" s="217">
        <v>0</v>
      </c>
      <c r="D5" s="218"/>
      <c r="E5" s="218"/>
      <c r="F5" s="218"/>
      <c r="G5" s="218"/>
      <c r="H5" s="218"/>
      <c r="I5" s="218"/>
      <c r="J5" s="218"/>
      <c r="K5" s="218"/>
      <c r="L5" s="442">
        <v>1</v>
      </c>
      <c r="M5" s="442"/>
      <c r="N5" s="442"/>
      <c r="O5" s="442"/>
      <c r="P5" s="442"/>
      <c r="Q5" s="442"/>
      <c r="R5" s="442"/>
      <c r="S5" s="442"/>
      <c r="T5" s="449"/>
      <c r="U5" s="444" t="str">
        <f>'Časový snímek'!C26</f>
        <v>Zakládání</v>
      </c>
      <c r="V5" s="219">
        <f t="shared" ref="V5:V24" si="0">ROUND(SUM(C5:K5)/W5*60,0)</f>
        <v>0</v>
      </c>
      <c r="W5" s="220">
        <f>SUM(L5:T6)</f>
        <v>1</v>
      </c>
    </row>
    <row r="6" spans="1:23" ht="15" customHeight="1" thickBot="1">
      <c r="A6" s="215">
        <v>2</v>
      </c>
      <c r="B6" s="216" t="s">
        <v>107</v>
      </c>
      <c r="C6" s="221">
        <v>0</v>
      </c>
      <c r="D6" s="222"/>
      <c r="E6" s="222"/>
      <c r="F6" s="222"/>
      <c r="G6" s="222"/>
      <c r="H6" s="222"/>
      <c r="I6" s="222"/>
      <c r="J6" s="222"/>
      <c r="K6" s="222"/>
      <c r="L6" s="439"/>
      <c r="M6" s="439"/>
      <c r="N6" s="439"/>
      <c r="O6" s="439"/>
      <c r="P6" s="439"/>
      <c r="Q6" s="439"/>
      <c r="R6" s="439"/>
      <c r="S6" s="439"/>
      <c r="T6" s="441"/>
      <c r="U6" s="445"/>
      <c r="V6" s="219">
        <f t="shared" si="0"/>
        <v>0</v>
      </c>
      <c r="W6" s="220">
        <f>SUM(L5:T6)</f>
        <v>1</v>
      </c>
    </row>
    <row r="7" spans="1:23" ht="15" customHeight="1">
      <c r="A7" s="215">
        <v>3</v>
      </c>
      <c r="B7" s="223" t="s">
        <v>106</v>
      </c>
      <c r="C7" s="224">
        <v>0</v>
      </c>
      <c r="D7" s="225"/>
      <c r="E7" s="225"/>
      <c r="F7" s="225"/>
      <c r="G7" s="225"/>
      <c r="H7" s="225"/>
      <c r="I7" s="225"/>
      <c r="J7" s="225"/>
      <c r="K7" s="225"/>
      <c r="L7" s="438">
        <v>1</v>
      </c>
      <c r="M7" s="438"/>
      <c r="N7" s="438"/>
      <c r="O7" s="438"/>
      <c r="P7" s="438"/>
      <c r="Q7" s="438"/>
      <c r="R7" s="438"/>
      <c r="S7" s="438"/>
      <c r="T7" s="440"/>
      <c r="U7" s="444" t="str">
        <f>'Časový snímek'!C27</f>
        <v>Bezpečnostní přestávka</v>
      </c>
      <c r="V7" s="226">
        <f t="shared" si="0"/>
        <v>0</v>
      </c>
      <c r="W7" s="220">
        <f>SUM(L7:T8)</f>
        <v>1</v>
      </c>
    </row>
    <row r="8" spans="1:23" ht="15" customHeight="1" thickBot="1">
      <c r="A8" s="215">
        <v>4</v>
      </c>
      <c r="B8" s="227" t="s">
        <v>107</v>
      </c>
      <c r="C8" s="228">
        <v>0</v>
      </c>
      <c r="D8" s="229"/>
      <c r="E8" s="229"/>
      <c r="F8" s="229"/>
      <c r="G8" s="229"/>
      <c r="H8" s="229"/>
      <c r="I8" s="229"/>
      <c r="J8" s="229"/>
      <c r="K8" s="229"/>
      <c r="L8" s="439"/>
      <c r="M8" s="439"/>
      <c r="N8" s="439"/>
      <c r="O8" s="439"/>
      <c r="P8" s="439"/>
      <c r="Q8" s="439"/>
      <c r="R8" s="439"/>
      <c r="S8" s="439"/>
      <c r="T8" s="441"/>
      <c r="U8" s="445"/>
      <c r="V8" s="230">
        <f t="shared" si="0"/>
        <v>0</v>
      </c>
      <c r="W8" s="220">
        <f>SUM(L7:T8)</f>
        <v>1</v>
      </c>
    </row>
    <row r="9" spans="1:23" ht="15" customHeight="1">
      <c r="A9" s="215">
        <v>5</v>
      </c>
      <c r="B9" s="216" t="s">
        <v>106</v>
      </c>
      <c r="C9" s="217">
        <v>0</v>
      </c>
      <c r="D9" s="218"/>
      <c r="E9" s="218"/>
      <c r="F9" s="218"/>
      <c r="G9" s="218"/>
      <c r="H9" s="218"/>
      <c r="I9" s="218"/>
      <c r="J9" s="218"/>
      <c r="K9" s="218"/>
      <c r="L9" s="442">
        <v>1</v>
      </c>
      <c r="M9" s="442"/>
      <c r="N9" s="442"/>
      <c r="O9" s="442"/>
      <c r="P9" s="442"/>
      <c r="Q9" s="442"/>
      <c r="R9" s="442"/>
      <c r="S9" s="442"/>
      <c r="T9" s="449"/>
      <c r="U9" s="444" t="str">
        <f>'Časový snímek'!C28</f>
        <v>Přestávka na jídlo a oddech</v>
      </c>
      <c r="V9" s="219">
        <f t="shared" si="0"/>
        <v>0</v>
      </c>
      <c r="W9" s="220">
        <f>SUM(L9:T10)</f>
        <v>1</v>
      </c>
    </row>
    <row r="10" spans="1:23" ht="15" customHeight="1" thickBot="1">
      <c r="A10" s="215">
        <v>6</v>
      </c>
      <c r="B10" s="216" t="s">
        <v>107</v>
      </c>
      <c r="C10" s="221">
        <v>0</v>
      </c>
      <c r="D10" s="222"/>
      <c r="E10" s="222"/>
      <c r="F10" s="222"/>
      <c r="G10" s="222"/>
      <c r="H10" s="222"/>
      <c r="I10" s="222"/>
      <c r="J10" s="222"/>
      <c r="K10" s="222"/>
      <c r="L10" s="439"/>
      <c r="M10" s="439"/>
      <c r="N10" s="439"/>
      <c r="O10" s="439"/>
      <c r="P10" s="439"/>
      <c r="Q10" s="439"/>
      <c r="R10" s="439"/>
      <c r="S10" s="439"/>
      <c r="T10" s="441"/>
      <c r="U10" s="445"/>
      <c r="V10" s="219">
        <f t="shared" si="0"/>
        <v>0</v>
      </c>
      <c r="W10" s="220">
        <f>SUM(L9:T10)</f>
        <v>1</v>
      </c>
    </row>
    <row r="11" spans="1:23" ht="15" customHeight="1">
      <c r="A11" s="215">
        <v>7</v>
      </c>
      <c r="B11" s="223" t="s">
        <v>106</v>
      </c>
      <c r="C11" s="224">
        <v>0</v>
      </c>
      <c r="D11" s="225"/>
      <c r="E11" s="225"/>
      <c r="F11" s="225"/>
      <c r="G11" s="225"/>
      <c r="H11" s="225"/>
      <c r="I11" s="225"/>
      <c r="J11" s="225"/>
      <c r="K11" s="225"/>
      <c r="L11" s="438">
        <v>1</v>
      </c>
      <c r="M11" s="438"/>
      <c r="N11" s="438"/>
      <c r="O11" s="438"/>
      <c r="P11" s="438"/>
      <c r="Q11" s="438"/>
      <c r="R11" s="438"/>
      <c r="S11" s="438"/>
      <c r="T11" s="440"/>
      <c r="U11" s="444">
        <f>'Časový snímek'!C29</f>
        <v>0</v>
      </c>
      <c r="V11" s="226">
        <f t="shared" si="0"/>
        <v>0</v>
      </c>
      <c r="W11" s="220">
        <f>SUM(L11:T12)</f>
        <v>1</v>
      </c>
    </row>
    <row r="12" spans="1:23" ht="15" customHeight="1" thickBot="1">
      <c r="A12" s="215">
        <v>8</v>
      </c>
      <c r="B12" s="227" t="s">
        <v>107</v>
      </c>
      <c r="C12" s="228">
        <v>0</v>
      </c>
      <c r="D12" s="229"/>
      <c r="E12" s="229"/>
      <c r="F12" s="229"/>
      <c r="G12" s="229"/>
      <c r="H12" s="229"/>
      <c r="I12" s="229"/>
      <c r="J12" s="229"/>
      <c r="K12" s="229"/>
      <c r="L12" s="439"/>
      <c r="M12" s="439"/>
      <c r="N12" s="439"/>
      <c r="O12" s="439"/>
      <c r="P12" s="439"/>
      <c r="Q12" s="439"/>
      <c r="R12" s="439"/>
      <c r="S12" s="439"/>
      <c r="T12" s="441"/>
      <c r="U12" s="445"/>
      <c r="V12" s="230">
        <f t="shared" si="0"/>
        <v>0</v>
      </c>
      <c r="W12" s="220">
        <f>SUM(L11:T12)</f>
        <v>1</v>
      </c>
    </row>
    <row r="13" spans="1:23" ht="15" customHeight="1">
      <c r="A13" s="215">
        <v>9</v>
      </c>
      <c r="B13" s="216" t="s">
        <v>106</v>
      </c>
      <c r="C13" s="217">
        <v>0</v>
      </c>
      <c r="D13" s="218"/>
      <c r="E13" s="218"/>
      <c r="F13" s="218"/>
      <c r="G13" s="218"/>
      <c r="H13" s="218"/>
      <c r="I13" s="218"/>
      <c r="J13" s="218"/>
      <c r="K13" s="218"/>
      <c r="L13" s="442">
        <v>1</v>
      </c>
      <c r="M13" s="442"/>
      <c r="N13" s="442"/>
      <c r="O13" s="442"/>
      <c r="P13" s="442"/>
      <c r="Q13" s="442"/>
      <c r="R13" s="442"/>
      <c r="S13" s="442"/>
      <c r="T13" s="449"/>
      <c r="U13" s="444">
        <f>'Časový snímek'!C30</f>
        <v>0</v>
      </c>
      <c r="V13" s="219">
        <f t="shared" si="0"/>
        <v>0</v>
      </c>
      <c r="W13" s="220">
        <f>SUM(L13:T14)</f>
        <v>1</v>
      </c>
    </row>
    <row r="14" spans="1:23" ht="15" customHeight="1" thickBot="1">
      <c r="A14" s="215">
        <v>10</v>
      </c>
      <c r="B14" s="216" t="s">
        <v>107</v>
      </c>
      <c r="C14" s="221">
        <v>0</v>
      </c>
      <c r="D14" s="222"/>
      <c r="E14" s="222"/>
      <c r="F14" s="222"/>
      <c r="G14" s="222"/>
      <c r="H14" s="222"/>
      <c r="I14" s="222"/>
      <c r="J14" s="222"/>
      <c r="K14" s="222"/>
      <c r="L14" s="439"/>
      <c r="M14" s="439"/>
      <c r="N14" s="439"/>
      <c r="O14" s="439"/>
      <c r="P14" s="439"/>
      <c r="Q14" s="439"/>
      <c r="R14" s="439"/>
      <c r="S14" s="439"/>
      <c r="T14" s="441"/>
      <c r="U14" s="445"/>
      <c r="V14" s="219">
        <f t="shared" si="0"/>
        <v>0</v>
      </c>
      <c r="W14" s="220">
        <f>SUM(L13:T14)</f>
        <v>1</v>
      </c>
    </row>
    <row r="15" spans="1:23" ht="15" customHeight="1">
      <c r="A15" s="215">
        <v>11</v>
      </c>
      <c r="B15" s="223" t="s">
        <v>106</v>
      </c>
      <c r="C15" s="224">
        <v>0</v>
      </c>
      <c r="D15" s="225"/>
      <c r="E15" s="225"/>
      <c r="F15" s="225"/>
      <c r="G15" s="225"/>
      <c r="H15" s="225"/>
      <c r="I15" s="225"/>
      <c r="J15" s="225"/>
      <c r="K15" s="225"/>
      <c r="L15" s="438">
        <v>1</v>
      </c>
      <c r="M15" s="438"/>
      <c r="N15" s="438"/>
      <c r="O15" s="438"/>
      <c r="P15" s="438"/>
      <c r="Q15" s="438"/>
      <c r="R15" s="438"/>
      <c r="S15" s="438"/>
      <c r="T15" s="440"/>
      <c r="U15" s="444">
        <f>'Časový snímek'!C31</f>
        <v>0</v>
      </c>
      <c r="V15" s="226">
        <f t="shared" si="0"/>
        <v>0</v>
      </c>
      <c r="W15" s="220">
        <f>SUM(L15:T16)</f>
        <v>1</v>
      </c>
    </row>
    <row r="16" spans="1:23" ht="15" customHeight="1" thickBot="1">
      <c r="A16" s="215">
        <v>12</v>
      </c>
      <c r="B16" s="227" t="s">
        <v>107</v>
      </c>
      <c r="C16" s="228">
        <v>0</v>
      </c>
      <c r="D16" s="229"/>
      <c r="E16" s="229"/>
      <c r="F16" s="229"/>
      <c r="G16" s="229"/>
      <c r="H16" s="229"/>
      <c r="I16" s="229"/>
      <c r="J16" s="229"/>
      <c r="K16" s="229"/>
      <c r="L16" s="439"/>
      <c r="M16" s="439"/>
      <c r="N16" s="439"/>
      <c r="O16" s="439"/>
      <c r="P16" s="439"/>
      <c r="Q16" s="439"/>
      <c r="R16" s="439"/>
      <c r="S16" s="439"/>
      <c r="T16" s="441"/>
      <c r="U16" s="445"/>
      <c r="V16" s="230">
        <f t="shared" si="0"/>
        <v>0</v>
      </c>
      <c r="W16" s="220">
        <f>SUM(L15:T16)</f>
        <v>1</v>
      </c>
    </row>
    <row r="17" spans="1:23" ht="15" customHeight="1">
      <c r="A17" s="215">
        <v>13</v>
      </c>
      <c r="B17" s="216" t="s">
        <v>106</v>
      </c>
      <c r="C17" s="217">
        <v>0</v>
      </c>
      <c r="D17" s="218"/>
      <c r="E17" s="218"/>
      <c r="F17" s="218"/>
      <c r="G17" s="218"/>
      <c r="H17" s="218"/>
      <c r="I17" s="218"/>
      <c r="J17" s="218"/>
      <c r="K17" s="218"/>
      <c r="L17" s="442">
        <v>1</v>
      </c>
      <c r="M17" s="442"/>
      <c r="N17" s="442"/>
      <c r="O17" s="442"/>
      <c r="P17" s="442"/>
      <c r="Q17" s="442"/>
      <c r="R17" s="442"/>
      <c r="S17" s="442"/>
      <c r="T17" s="449"/>
      <c r="U17" s="444">
        <f>'Časový snímek'!C32</f>
        <v>0</v>
      </c>
      <c r="V17" s="219">
        <f t="shared" si="0"/>
        <v>0</v>
      </c>
      <c r="W17" s="220">
        <f>SUM(L17:T18)</f>
        <v>1</v>
      </c>
    </row>
    <row r="18" spans="1:23" ht="15" customHeight="1" thickBot="1">
      <c r="A18" s="215">
        <v>14</v>
      </c>
      <c r="B18" s="216" t="s">
        <v>107</v>
      </c>
      <c r="C18" s="221">
        <v>0</v>
      </c>
      <c r="D18" s="222"/>
      <c r="E18" s="222"/>
      <c r="F18" s="222"/>
      <c r="G18" s="222"/>
      <c r="H18" s="222"/>
      <c r="I18" s="222"/>
      <c r="J18" s="222"/>
      <c r="K18" s="222"/>
      <c r="L18" s="439"/>
      <c r="M18" s="439"/>
      <c r="N18" s="439"/>
      <c r="O18" s="439"/>
      <c r="P18" s="439"/>
      <c r="Q18" s="439"/>
      <c r="R18" s="439"/>
      <c r="S18" s="439"/>
      <c r="T18" s="441"/>
      <c r="U18" s="445"/>
      <c r="V18" s="219">
        <f t="shared" si="0"/>
        <v>0</v>
      </c>
      <c r="W18" s="220">
        <f>SUM(L17:T18)</f>
        <v>1</v>
      </c>
    </row>
    <row r="19" spans="1:23" ht="15" customHeight="1">
      <c r="A19" s="215">
        <v>15</v>
      </c>
      <c r="B19" s="223" t="s">
        <v>106</v>
      </c>
      <c r="C19" s="224">
        <v>0</v>
      </c>
      <c r="D19" s="225"/>
      <c r="E19" s="225"/>
      <c r="F19" s="225"/>
      <c r="G19" s="225"/>
      <c r="H19" s="225"/>
      <c r="I19" s="225"/>
      <c r="J19" s="225"/>
      <c r="K19" s="225"/>
      <c r="L19" s="438">
        <v>1</v>
      </c>
      <c r="M19" s="438"/>
      <c r="N19" s="438"/>
      <c r="O19" s="438"/>
      <c r="P19" s="438"/>
      <c r="Q19" s="438"/>
      <c r="R19" s="438"/>
      <c r="S19" s="438"/>
      <c r="T19" s="440"/>
      <c r="U19" s="444">
        <f>'Časový snímek'!C33</f>
        <v>0</v>
      </c>
      <c r="V19" s="226">
        <f t="shared" si="0"/>
        <v>0</v>
      </c>
      <c r="W19" s="220">
        <f>SUM(L19:T20)</f>
        <v>1</v>
      </c>
    </row>
    <row r="20" spans="1:23" ht="15" customHeight="1" thickBot="1">
      <c r="A20" s="215">
        <v>16</v>
      </c>
      <c r="B20" s="227" t="s">
        <v>107</v>
      </c>
      <c r="C20" s="228">
        <v>0</v>
      </c>
      <c r="D20" s="229"/>
      <c r="E20" s="229"/>
      <c r="F20" s="229"/>
      <c r="G20" s="229"/>
      <c r="H20" s="229"/>
      <c r="I20" s="229"/>
      <c r="J20" s="229"/>
      <c r="K20" s="229"/>
      <c r="L20" s="439"/>
      <c r="M20" s="439"/>
      <c r="N20" s="439"/>
      <c r="O20" s="439"/>
      <c r="P20" s="439"/>
      <c r="Q20" s="439"/>
      <c r="R20" s="439"/>
      <c r="S20" s="439"/>
      <c r="T20" s="441"/>
      <c r="U20" s="445"/>
      <c r="V20" s="230">
        <f t="shared" si="0"/>
        <v>0</v>
      </c>
      <c r="W20" s="220">
        <f>SUM(L19:T20)</f>
        <v>1</v>
      </c>
    </row>
    <row r="21" spans="1:23" ht="15" customHeight="1">
      <c r="A21" s="215">
        <v>17</v>
      </c>
      <c r="B21" s="216" t="s">
        <v>106</v>
      </c>
      <c r="C21" s="217">
        <v>0</v>
      </c>
      <c r="D21" s="218"/>
      <c r="E21" s="218"/>
      <c r="F21" s="218"/>
      <c r="G21" s="218"/>
      <c r="H21" s="218"/>
      <c r="I21" s="218"/>
      <c r="J21" s="218"/>
      <c r="K21" s="218"/>
      <c r="L21" s="442">
        <v>1</v>
      </c>
      <c r="M21" s="442"/>
      <c r="N21" s="442"/>
      <c r="O21" s="442"/>
      <c r="P21" s="442"/>
      <c r="Q21" s="442"/>
      <c r="R21" s="442"/>
      <c r="S21" s="442"/>
      <c r="T21" s="449"/>
      <c r="U21" s="444">
        <f>'Časový snímek'!C34</f>
        <v>0</v>
      </c>
      <c r="V21" s="219">
        <f t="shared" si="0"/>
        <v>0</v>
      </c>
      <c r="W21" s="220">
        <f>SUM(L21:T22)</f>
        <v>1</v>
      </c>
    </row>
    <row r="22" spans="1:23" ht="15" customHeight="1" thickBot="1">
      <c r="A22" s="215">
        <v>18</v>
      </c>
      <c r="B22" s="216" t="s">
        <v>107</v>
      </c>
      <c r="C22" s="221">
        <v>0</v>
      </c>
      <c r="D22" s="222"/>
      <c r="E22" s="222"/>
      <c r="F22" s="222"/>
      <c r="G22" s="222"/>
      <c r="H22" s="222"/>
      <c r="I22" s="222"/>
      <c r="J22" s="222"/>
      <c r="K22" s="222"/>
      <c r="L22" s="439"/>
      <c r="M22" s="439"/>
      <c r="N22" s="439"/>
      <c r="O22" s="439"/>
      <c r="P22" s="439"/>
      <c r="Q22" s="439"/>
      <c r="R22" s="439"/>
      <c r="S22" s="439"/>
      <c r="T22" s="441"/>
      <c r="U22" s="445"/>
      <c r="V22" s="219">
        <f t="shared" si="0"/>
        <v>0</v>
      </c>
      <c r="W22" s="220">
        <f>SUM(L21:T22)</f>
        <v>1</v>
      </c>
    </row>
    <row r="23" spans="1:23" ht="15" customHeight="1">
      <c r="A23" s="215">
        <v>19</v>
      </c>
      <c r="B23" s="223" t="s">
        <v>106</v>
      </c>
      <c r="C23" s="224">
        <v>0</v>
      </c>
      <c r="D23" s="225"/>
      <c r="E23" s="225"/>
      <c r="F23" s="225"/>
      <c r="G23" s="225"/>
      <c r="H23" s="225"/>
      <c r="I23" s="225"/>
      <c r="J23" s="225"/>
      <c r="K23" s="225"/>
      <c r="L23" s="438">
        <v>1</v>
      </c>
      <c r="M23" s="438"/>
      <c r="N23" s="438"/>
      <c r="O23" s="438"/>
      <c r="P23" s="438"/>
      <c r="Q23" s="438"/>
      <c r="R23" s="438"/>
      <c r="S23" s="438"/>
      <c r="T23" s="440"/>
      <c r="U23" s="444">
        <f>'Časový snímek'!C35</f>
        <v>0</v>
      </c>
      <c r="V23" s="226">
        <f t="shared" si="0"/>
        <v>0</v>
      </c>
      <c r="W23" s="220">
        <f>SUM(L23:T24)</f>
        <v>1</v>
      </c>
    </row>
    <row r="24" spans="1:23" ht="15" customHeight="1" thickBot="1">
      <c r="A24" s="215">
        <v>20</v>
      </c>
      <c r="B24" s="227" t="s">
        <v>107</v>
      </c>
      <c r="C24" s="228">
        <v>0</v>
      </c>
      <c r="D24" s="229"/>
      <c r="E24" s="229"/>
      <c r="F24" s="229"/>
      <c r="G24" s="229"/>
      <c r="H24" s="229"/>
      <c r="I24" s="229"/>
      <c r="J24" s="229"/>
      <c r="K24" s="229"/>
      <c r="L24" s="439"/>
      <c r="M24" s="439"/>
      <c r="N24" s="439"/>
      <c r="O24" s="439"/>
      <c r="P24" s="439"/>
      <c r="Q24" s="439"/>
      <c r="R24" s="439"/>
      <c r="S24" s="439"/>
      <c r="T24" s="441"/>
      <c r="U24" s="445"/>
      <c r="V24" s="230">
        <f t="shared" si="0"/>
        <v>0</v>
      </c>
      <c r="W24" s="220">
        <f>SUM(L23:T24)</f>
        <v>1</v>
      </c>
    </row>
    <row r="25" spans="1:23" ht="15" customHeight="1" thickBot="1">
      <c r="A25" s="215"/>
      <c r="B25" s="247"/>
      <c r="C25" s="248"/>
      <c r="D25" s="248"/>
      <c r="E25" s="248"/>
      <c r="F25" s="248"/>
      <c r="G25" s="248"/>
      <c r="H25" s="248"/>
      <c r="I25" s="248"/>
      <c r="J25" s="248"/>
      <c r="K25" s="248"/>
      <c r="L25" s="252"/>
      <c r="M25" s="252"/>
      <c r="N25" s="252"/>
      <c r="O25" s="252"/>
      <c r="P25" s="252"/>
      <c r="Q25" s="252"/>
      <c r="R25" s="252"/>
      <c r="S25" s="252"/>
      <c r="T25" s="252"/>
      <c r="U25" s="253"/>
      <c r="V25" s="249"/>
      <c r="W25" s="220"/>
    </row>
    <row r="26" spans="1:23" ht="28.5" customHeight="1" thickBot="1">
      <c r="A26" s="215"/>
      <c r="B26" s="450" t="s">
        <v>108</v>
      </c>
      <c r="C26" s="411"/>
      <c r="D26" s="411"/>
      <c r="E26" s="411"/>
      <c r="F26" s="411"/>
      <c r="G26" s="411"/>
      <c r="H26" s="411"/>
      <c r="I26" s="411"/>
      <c r="J26" s="411"/>
      <c r="K26" s="411"/>
      <c r="L26" s="411"/>
      <c r="M26" s="411"/>
      <c r="N26" s="411"/>
      <c r="O26" s="411"/>
      <c r="P26" s="411"/>
      <c r="Q26" s="411"/>
      <c r="R26" s="411"/>
      <c r="S26" s="411"/>
      <c r="T26" s="411"/>
      <c r="U26" s="411"/>
      <c r="V26" s="403"/>
      <c r="W26" s="220"/>
    </row>
    <row r="27" spans="1:23" ht="8.25" customHeight="1" thickBot="1">
      <c r="A27" s="215"/>
      <c r="B27" s="247"/>
      <c r="C27" s="248"/>
      <c r="D27" s="248"/>
      <c r="E27" s="248"/>
      <c r="F27" s="248"/>
      <c r="G27" s="248"/>
      <c r="H27" s="248"/>
      <c r="I27" s="248"/>
      <c r="J27" s="248"/>
      <c r="K27" s="248"/>
      <c r="L27" s="252"/>
      <c r="M27" s="252"/>
      <c r="N27" s="252"/>
      <c r="O27" s="252"/>
      <c r="P27" s="252"/>
      <c r="Q27" s="252"/>
      <c r="R27" s="252"/>
      <c r="S27" s="252"/>
      <c r="T27" s="252"/>
      <c r="U27" s="253"/>
      <c r="V27" s="249"/>
      <c r="W27" s="220"/>
    </row>
    <row r="28" spans="1:23" ht="24" customHeight="1" thickBot="1">
      <c r="A28" s="215"/>
      <c r="B28" s="212" t="s">
        <v>32</v>
      </c>
      <c r="C28" s="451" t="s">
        <v>103</v>
      </c>
      <c r="D28" s="411"/>
      <c r="E28" s="411"/>
      <c r="F28" s="411"/>
      <c r="G28" s="411"/>
      <c r="H28" s="411"/>
      <c r="I28" s="411"/>
      <c r="J28" s="411"/>
      <c r="K28" s="411"/>
      <c r="L28" s="443" t="s">
        <v>109</v>
      </c>
      <c r="M28" s="411"/>
      <c r="N28" s="411"/>
      <c r="O28" s="411"/>
      <c r="P28" s="411"/>
      <c r="Q28" s="411"/>
      <c r="R28" s="411"/>
      <c r="S28" s="411"/>
      <c r="T28" s="411"/>
      <c r="U28" s="213" t="s">
        <v>98</v>
      </c>
      <c r="V28" s="214" t="s">
        <v>110</v>
      </c>
      <c r="W28" s="220"/>
    </row>
    <row r="29" spans="1:23" ht="15" customHeight="1">
      <c r="A29" s="215"/>
      <c r="B29" s="216" t="s">
        <v>106</v>
      </c>
      <c r="C29" s="217">
        <v>0</v>
      </c>
      <c r="D29" s="218"/>
      <c r="E29" s="218"/>
      <c r="F29" s="218"/>
      <c r="G29" s="218"/>
      <c r="H29" s="218"/>
      <c r="I29" s="218"/>
      <c r="J29" s="218"/>
      <c r="K29" s="218"/>
      <c r="L29" s="442">
        <v>1</v>
      </c>
      <c r="M29" s="442"/>
      <c r="N29" s="442"/>
      <c r="O29" s="442"/>
      <c r="P29" s="442"/>
      <c r="Q29" s="442"/>
      <c r="R29" s="442"/>
      <c r="S29" s="442"/>
      <c r="T29" s="449"/>
      <c r="U29" s="444" t="str">
        <f>'Časový snímek'!C26</f>
        <v>Zakládání</v>
      </c>
      <c r="V29" s="226">
        <f t="shared" ref="V29:V48" si="1">ROUND(SUM(C29:K29)/W29,0)</f>
        <v>0</v>
      </c>
      <c r="W29" s="220">
        <f>SUM(L29:T30)</f>
        <v>1</v>
      </c>
    </row>
    <row r="30" spans="1:23" ht="15" customHeight="1" thickBot="1">
      <c r="A30" s="215"/>
      <c r="B30" s="216" t="s">
        <v>107</v>
      </c>
      <c r="C30" s="221">
        <v>0</v>
      </c>
      <c r="D30" s="222"/>
      <c r="E30" s="222"/>
      <c r="F30" s="222"/>
      <c r="G30" s="222"/>
      <c r="H30" s="222"/>
      <c r="I30" s="222"/>
      <c r="J30" s="222"/>
      <c r="K30" s="222"/>
      <c r="L30" s="439"/>
      <c r="M30" s="439"/>
      <c r="N30" s="439"/>
      <c r="O30" s="439"/>
      <c r="P30" s="439"/>
      <c r="Q30" s="439"/>
      <c r="R30" s="439"/>
      <c r="S30" s="439"/>
      <c r="T30" s="441"/>
      <c r="U30" s="445"/>
      <c r="V30" s="230">
        <f t="shared" si="1"/>
        <v>0</v>
      </c>
      <c r="W30" s="220">
        <f>SUM(L29:T30)</f>
        <v>1</v>
      </c>
    </row>
    <row r="31" spans="1:23" ht="15" customHeight="1">
      <c r="A31" s="215"/>
      <c r="B31" s="223" t="s">
        <v>106</v>
      </c>
      <c r="C31" s="224">
        <v>0</v>
      </c>
      <c r="D31" s="225"/>
      <c r="E31" s="225"/>
      <c r="F31" s="225"/>
      <c r="G31" s="225"/>
      <c r="H31" s="225"/>
      <c r="I31" s="225"/>
      <c r="J31" s="225"/>
      <c r="K31" s="225"/>
      <c r="L31" s="438">
        <v>1</v>
      </c>
      <c r="M31" s="438"/>
      <c r="N31" s="438"/>
      <c r="O31" s="438"/>
      <c r="P31" s="438"/>
      <c r="Q31" s="438"/>
      <c r="R31" s="438"/>
      <c r="S31" s="438"/>
      <c r="T31" s="440"/>
      <c r="U31" s="444" t="str">
        <f>'Časový snímek'!C27</f>
        <v>Bezpečnostní přestávka</v>
      </c>
      <c r="V31" s="219">
        <f t="shared" si="1"/>
        <v>0</v>
      </c>
      <c r="W31" s="220">
        <f>SUM(L31:T32)</f>
        <v>1</v>
      </c>
    </row>
    <row r="32" spans="1:23" ht="15" customHeight="1" thickBot="1">
      <c r="A32" s="215"/>
      <c r="B32" s="227" t="s">
        <v>107</v>
      </c>
      <c r="C32" s="228">
        <v>0</v>
      </c>
      <c r="D32" s="229"/>
      <c r="E32" s="229"/>
      <c r="F32" s="229"/>
      <c r="G32" s="229"/>
      <c r="H32" s="229"/>
      <c r="I32" s="229"/>
      <c r="J32" s="229"/>
      <c r="K32" s="229"/>
      <c r="L32" s="439"/>
      <c r="M32" s="439"/>
      <c r="N32" s="439"/>
      <c r="O32" s="439"/>
      <c r="P32" s="439"/>
      <c r="Q32" s="439"/>
      <c r="R32" s="439"/>
      <c r="S32" s="439"/>
      <c r="T32" s="441"/>
      <c r="U32" s="445"/>
      <c r="V32" s="219">
        <f t="shared" si="1"/>
        <v>0</v>
      </c>
      <c r="W32" s="220">
        <f>SUM(L31:T32)</f>
        <v>1</v>
      </c>
    </row>
    <row r="33" spans="1:23" ht="15" customHeight="1">
      <c r="A33" s="215"/>
      <c r="B33" s="216" t="s">
        <v>106</v>
      </c>
      <c r="C33" s="217">
        <v>0</v>
      </c>
      <c r="D33" s="218"/>
      <c r="E33" s="218"/>
      <c r="F33" s="218"/>
      <c r="G33" s="218"/>
      <c r="H33" s="218"/>
      <c r="I33" s="218"/>
      <c r="J33" s="218"/>
      <c r="K33" s="218"/>
      <c r="L33" s="442">
        <v>1</v>
      </c>
      <c r="M33" s="442"/>
      <c r="N33" s="442"/>
      <c r="O33" s="442"/>
      <c r="P33" s="442"/>
      <c r="Q33" s="442"/>
      <c r="R33" s="442"/>
      <c r="S33" s="442"/>
      <c r="T33" s="449"/>
      <c r="U33" s="444" t="str">
        <f>'Časový snímek'!C28</f>
        <v>Přestávka na jídlo a oddech</v>
      </c>
      <c r="V33" s="226">
        <f t="shared" si="1"/>
        <v>0</v>
      </c>
      <c r="W33" s="220">
        <f>SUM(L33:T34)</f>
        <v>1</v>
      </c>
    </row>
    <row r="34" spans="1:23" ht="15" customHeight="1" thickBot="1">
      <c r="A34" s="215"/>
      <c r="B34" s="216" t="s">
        <v>107</v>
      </c>
      <c r="C34" s="221">
        <v>0</v>
      </c>
      <c r="D34" s="222"/>
      <c r="E34" s="222"/>
      <c r="F34" s="222"/>
      <c r="G34" s="222"/>
      <c r="H34" s="222"/>
      <c r="I34" s="222"/>
      <c r="J34" s="222"/>
      <c r="K34" s="222"/>
      <c r="L34" s="439"/>
      <c r="M34" s="439"/>
      <c r="N34" s="439"/>
      <c r="O34" s="439"/>
      <c r="P34" s="439"/>
      <c r="Q34" s="439"/>
      <c r="R34" s="439"/>
      <c r="S34" s="439"/>
      <c r="T34" s="441"/>
      <c r="U34" s="445"/>
      <c r="V34" s="230">
        <f t="shared" si="1"/>
        <v>0</v>
      </c>
      <c r="W34" s="220">
        <f>SUM(L33:T34)</f>
        <v>1</v>
      </c>
    </row>
    <row r="35" spans="1:23" ht="15" customHeight="1">
      <c r="A35" s="215"/>
      <c r="B35" s="223" t="s">
        <v>106</v>
      </c>
      <c r="C35" s="224">
        <v>0</v>
      </c>
      <c r="D35" s="225"/>
      <c r="E35" s="225"/>
      <c r="F35" s="225"/>
      <c r="G35" s="225"/>
      <c r="H35" s="225"/>
      <c r="I35" s="225"/>
      <c r="J35" s="225"/>
      <c r="K35" s="225"/>
      <c r="L35" s="438">
        <v>1</v>
      </c>
      <c r="M35" s="438"/>
      <c r="N35" s="438"/>
      <c r="O35" s="438"/>
      <c r="P35" s="438"/>
      <c r="Q35" s="438"/>
      <c r="R35" s="438"/>
      <c r="S35" s="438"/>
      <c r="T35" s="440"/>
      <c r="U35" s="444">
        <f>'Časový snímek'!C29</f>
        <v>0</v>
      </c>
      <c r="V35" s="219">
        <f t="shared" si="1"/>
        <v>0</v>
      </c>
      <c r="W35" s="220">
        <f>SUM(L35:T36)</f>
        <v>1</v>
      </c>
    </row>
    <row r="36" spans="1:23" ht="15" customHeight="1" thickBot="1">
      <c r="A36" s="215"/>
      <c r="B36" s="227" t="s">
        <v>107</v>
      </c>
      <c r="C36" s="228">
        <v>0</v>
      </c>
      <c r="D36" s="229"/>
      <c r="E36" s="229"/>
      <c r="F36" s="229"/>
      <c r="G36" s="229"/>
      <c r="H36" s="229"/>
      <c r="I36" s="229"/>
      <c r="J36" s="229"/>
      <c r="K36" s="229"/>
      <c r="L36" s="439"/>
      <c r="M36" s="439"/>
      <c r="N36" s="439"/>
      <c r="O36" s="439"/>
      <c r="P36" s="439"/>
      <c r="Q36" s="439"/>
      <c r="R36" s="439"/>
      <c r="S36" s="439"/>
      <c r="T36" s="441"/>
      <c r="U36" s="445"/>
      <c r="V36" s="219">
        <f t="shared" si="1"/>
        <v>0</v>
      </c>
      <c r="W36" s="220">
        <f>SUM(L35:T36)</f>
        <v>1</v>
      </c>
    </row>
    <row r="37" spans="1:23" ht="15" customHeight="1">
      <c r="A37" s="215"/>
      <c r="B37" s="216" t="s">
        <v>106</v>
      </c>
      <c r="C37" s="217">
        <v>0</v>
      </c>
      <c r="D37" s="218"/>
      <c r="E37" s="218"/>
      <c r="F37" s="218"/>
      <c r="G37" s="218"/>
      <c r="H37" s="218"/>
      <c r="I37" s="218"/>
      <c r="J37" s="218"/>
      <c r="K37" s="218"/>
      <c r="L37" s="442">
        <v>1</v>
      </c>
      <c r="M37" s="442"/>
      <c r="N37" s="442"/>
      <c r="O37" s="442"/>
      <c r="P37" s="442"/>
      <c r="Q37" s="442"/>
      <c r="R37" s="442"/>
      <c r="S37" s="442"/>
      <c r="T37" s="449"/>
      <c r="U37" s="444">
        <f>'Časový snímek'!C30</f>
        <v>0</v>
      </c>
      <c r="V37" s="226">
        <f t="shared" si="1"/>
        <v>0</v>
      </c>
      <c r="W37" s="220">
        <f>SUM(L37:T38)</f>
        <v>1</v>
      </c>
    </row>
    <row r="38" spans="1:23" ht="15" customHeight="1" thickBot="1">
      <c r="A38" s="215"/>
      <c r="B38" s="216" t="s">
        <v>107</v>
      </c>
      <c r="C38" s="221">
        <v>0</v>
      </c>
      <c r="D38" s="222"/>
      <c r="E38" s="222"/>
      <c r="F38" s="222"/>
      <c r="G38" s="222"/>
      <c r="H38" s="222"/>
      <c r="I38" s="222"/>
      <c r="J38" s="222"/>
      <c r="K38" s="222"/>
      <c r="L38" s="439"/>
      <c r="M38" s="439"/>
      <c r="N38" s="439"/>
      <c r="O38" s="439"/>
      <c r="P38" s="439"/>
      <c r="Q38" s="439"/>
      <c r="R38" s="439"/>
      <c r="S38" s="439"/>
      <c r="T38" s="441"/>
      <c r="U38" s="445"/>
      <c r="V38" s="230">
        <f t="shared" si="1"/>
        <v>0</v>
      </c>
      <c r="W38" s="220">
        <f>SUM(L37:T38)</f>
        <v>1</v>
      </c>
    </row>
    <row r="39" spans="1:23" ht="15" customHeight="1">
      <c r="A39" s="215"/>
      <c r="B39" s="223" t="s">
        <v>106</v>
      </c>
      <c r="C39" s="224">
        <v>0</v>
      </c>
      <c r="D39" s="225"/>
      <c r="E39" s="225"/>
      <c r="F39" s="225"/>
      <c r="G39" s="225"/>
      <c r="H39" s="225"/>
      <c r="I39" s="225"/>
      <c r="J39" s="225"/>
      <c r="K39" s="225"/>
      <c r="L39" s="438">
        <v>1</v>
      </c>
      <c r="M39" s="438"/>
      <c r="N39" s="438"/>
      <c r="O39" s="438"/>
      <c r="P39" s="438"/>
      <c r="Q39" s="438"/>
      <c r="R39" s="438"/>
      <c r="S39" s="438"/>
      <c r="T39" s="440"/>
      <c r="U39" s="444">
        <f>'Časový snímek'!C31</f>
        <v>0</v>
      </c>
      <c r="V39" s="219">
        <f t="shared" si="1"/>
        <v>0</v>
      </c>
      <c r="W39" s="220">
        <f>SUM(L39:T40)</f>
        <v>1</v>
      </c>
    </row>
    <row r="40" spans="1:23" ht="15" customHeight="1" thickBot="1">
      <c r="A40" s="215"/>
      <c r="B40" s="227" t="s">
        <v>107</v>
      </c>
      <c r="C40" s="228">
        <v>0</v>
      </c>
      <c r="D40" s="229"/>
      <c r="E40" s="229"/>
      <c r="F40" s="229"/>
      <c r="G40" s="229"/>
      <c r="H40" s="229"/>
      <c r="I40" s="229"/>
      <c r="J40" s="229"/>
      <c r="K40" s="229"/>
      <c r="L40" s="439"/>
      <c r="M40" s="439"/>
      <c r="N40" s="439"/>
      <c r="O40" s="439"/>
      <c r="P40" s="439"/>
      <c r="Q40" s="439"/>
      <c r="R40" s="439"/>
      <c r="S40" s="439"/>
      <c r="T40" s="441"/>
      <c r="U40" s="445"/>
      <c r="V40" s="219">
        <f t="shared" si="1"/>
        <v>0</v>
      </c>
      <c r="W40" s="220">
        <f>SUM(L39:T40)</f>
        <v>1</v>
      </c>
    </row>
    <row r="41" spans="1:23" ht="15" customHeight="1">
      <c r="A41" s="215"/>
      <c r="B41" s="216" t="s">
        <v>106</v>
      </c>
      <c r="C41" s="217">
        <v>0</v>
      </c>
      <c r="D41" s="218"/>
      <c r="E41" s="218"/>
      <c r="F41" s="218"/>
      <c r="G41" s="218"/>
      <c r="H41" s="218"/>
      <c r="I41" s="218"/>
      <c r="J41" s="218"/>
      <c r="K41" s="218"/>
      <c r="L41" s="442">
        <v>1</v>
      </c>
      <c r="M41" s="442"/>
      <c r="N41" s="442"/>
      <c r="O41" s="442"/>
      <c r="P41" s="442"/>
      <c r="Q41" s="442"/>
      <c r="R41" s="442"/>
      <c r="S41" s="442"/>
      <c r="T41" s="449"/>
      <c r="U41" s="444">
        <f>'Časový snímek'!C32</f>
        <v>0</v>
      </c>
      <c r="V41" s="226">
        <f t="shared" si="1"/>
        <v>0</v>
      </c>
      <c r="W41" s="220">
        <f>SUM(L41:T42)</f>
        <v>1</v>
      </c>
    </row>
    <row r="42" spans="1:23" ht="15" customHeight="1" thickBot="1">
      <c r="A42" s="215"/>
      <c r="B42" s="216" t="s">
        <v>107</v>
      </c>
      <c r="C42" s="221">
        <v>0</v>
      </c>
      <c r="D42" s="222"/>
      <c r="E42" s="222"/>
      <c r="F42" s="222"/>
      <c r="G42" s="222"/>
      <c r="H42" s="222"/>
      <c r="I42" s="222"/>
      <c r="J42" s="222"/>
      <c r="K42" s="222"/>
      <c r="L42" s="439"/>
      <c r="M42" s="439"/>
      <c r="N42" s="439"/>
      <c r="O42" s="439"/>
      <c r="P42" s="439"/>
      <c r="Q42" s="439"/>
      <c r="R42" s="439"/>
      <c r="S42" s="439"/>
      <c r="T42" s="441"/>
      <c r="U42" s="445"/>
      <c r="V42" s="230">
        <f t="shared" si="1"/>
        <v>0</v>
      </c>
      <c r="W42" s="220">
        <f>SUM(L41:T42)</f>
        <v>1</v>
      </c>
    </row>
    <row r="43" spans="1:23" ht="15" customHeight="1">
      <c r="A43" s="215"/>
      <c r="B43" s="223" t="s">
        <v>106</v>
      </c>
      <c r="C43" s="224">
        <v>0</v>
      </c>
      <c r="D43" s="225"/>
      <c r="E43" s="225"/>
      <c r="F43" s="225"/>
      <c r="G43" s="225"/>
      <c r="H43" s="225"/>
      <c r="I43" s="225"/>
      <c r="J43" s="225"/>
      <c r="K43" s="225"/>
      <c r="L43" s="438">
        <v>1</v>
      </c>
      <c r="M43" s="438"/>
      <c r="N43" s="438"/>
      <c r="O43" s="438"/>
      <c r="P43" s="438"/>
      <c r="Q43" s="438"/>
      <c r="R43" s="438"/>
      <c r="S43" s="438"/>
      <c r="T43" s="440"/>
      <c r="U43" s="444">
        <f>'Časový snímek'!C33</f>
        <v>0</v>
      </c>
      <c r="V43" s="219">
        <f t="shared" si="1"/>
        <v>0</v>
      </c>
      <c r="W43" s="220">
        <f>SUM(L43:T44)</f>
        <v>1</v>
      </c>
    </row>
    <row r="44" spans="1:23" ht="15.75" customHeight="1" thickBot="1">
      <c r="B44" s="227" t="s">
        <v>107</v>
      </c>
      <c r="C44" s="228">
        <v>0</v>
      </c>
      <c r="D44" s="229"/>
      <c r="E44" s="229"/>
      <c r="F44" s="229"/>
      <c r="G44" s="229"/>
      <c r="H44" s="229"/>
      <c r="I44" s="229"/>
      <c r="J44" s="229"/>
      <c r="K44" s="229"/>
      <c r="L44" s="439"/>
      <c r="M44" s="439"/>
      <c r="N44" s="439"/>
      <c r="O44" s="439"/>
      <c r="P44" s="439"/>
      <c r="Q44" s="439"/>
      <c r="R44" s="439"/>
      <c r="S44" s="439"/>
      <c r="T44" s="441"/>
      <c r="U44" s="445"/>
      <c r="V44" s="219">
        <f t="shared" si="1"/>
        <v>0</v>
      </c>
      <c r="W44" s="247">
        <f>SUM(L43:T44)</f>
        <v>1</v>
      </c>
    </row>
    <row r="45" spans="1:23" ht="15" customHeight="1">
      <c r="B45" s="216" t="s">
        <v>106</v>
      </c>
      <c r="C45" s="217">
        <v>0</v>
      </c>
      <c r="D45" s="218"/>
      <c r="E45" s="218"/>
      <c r="F45" s="218"/>
      <c r="G45" s="218"/>
      <c r="H45" s="218"/>
      <c r="I45" s="218"/>
      <c r="J45" s="218"/>
      <c r="K45" s="218"/>
      <c r="L45" s="442">
        <v>1</v>
      </c>
      <c r="M45" s="442"/>
      <c r="N45" s="442"/>
      <c r="O45" s="442"/>
      <c r="P45" s="442"/>
      <c r="Q45" s="442"/>
      <c r="R45" s="442"/>
      <c r="S45" s="442"/>
      <c r="T45" s="449"/>
      <c r="U45" s="444">
        <f>'Časový snímek'!C34</f>
        <v>0</v>
      </c>
      <c r="V45" s="226">
        <f t="shared" si="1"/>
        <v>0</v>
      </c>
      <c r="W45" s="247">
        <f>SUM(L45:T46)</f>
        <v>1</v>
      </c>
    </row>
    <row r="46" spans="1:23" ht="15.75" customHeight="1" thickBot="1">
      <c r="A46" s="250"/>
      <c r="B46" s="216" t="s">
        <v>107</v>
      </c>
      <c r="C46" s="221">
        <v>0</v>
      </c>
      <c r="D46" s="222"/>
      <c r="E46" s="222"/>
      <c r="F46" s="222"/>
      <c r="G46" s="222"/>
      <c r="H46" s="222"/>
      <c r="I46" s="222"/>
      <c r="J46" s="222"/>
      <c r="K46" s="222"/>
      <c r="L46" s="439"/>
      <c r="M46" s="439"/>
      <c r="N46" s="439"/>
      <c r="O46" s="439"/>
      <c r="P46" s="439"/>
      <c r="Q46" s="439"/>
      <c r="R46" s="439"/>
      <c r="S46" s="439"/>
      <c r="T46" s="441"/>
      <c r="U46" s="445"/>
      <c r="V46" s="230">
        <f t="shared" si="1"/>
        <v>0</v>
      </c>
      <c r="W46" s="247">
        <f>SUM(L45:T46)</f>
        <v>1</v>
      </c>
    </row>
    <row r="47" spans="1:23" ht="15" customHeight="1">
      <c r="B47" s="223" t="s">
        <v>106</v>
      </c>
      <c r="C47" s="224">
        <v>0</v>
      </c>
      <c r="D47" s="225">
        <v>0</v>
      </c>
      <c r="E47" s="225"/>
      <c r="F47" s="225"/>
      <c r="G47" s="225"/>
      <c r="H47" s="225"/>
      <c r="I47" s="225"/>
      <c r="J47" s="225"/>
      <c r="K47" s="225"/>
      <c r="L47" s="438">
        <v>1</v>
      </c>
      <c r="M47" s="438"/>
      <c r="N47" s="438"/>
      <c r="O47" s="438"/>
      <c r="P47" s="438"/>
      <c r="Q47" s="438"/>
      <c r="R47" s="438"/>
      <c r="S47" s="438"/>
      <c r="T47" s="440"/>
      <c r="U47" s="444">
        <f>'Časový snímek'!C35</f>
        <v>0</v>
      </c>
      <c r="V47" s="219">
        <f t="shared" si="1"/>
        <v>0</v>
      </c>
      <c r="W47" s="247">
        <f>SUM(L47:T48)</f>
        <v>1</v>
      </c>
    </row>
    <row r="48" spans="1:23" ht="15.75" customHeight="1" thickBot="1">
      <c r="B48" s="227" t="s">
        <v>107</v>
      </c>
      <c r="C48" s="228">
        <v>0</v>
      </c>
      <c r="D48" s="229">
        <v>0</v>
      </c>
      <c r="E48" s="229"/>
      <c r="F48" s="229"/>
      <c r="G48" s="229"/>
      <c r="H48" s="229"/>
      <c r="I48" s="229"/>
      <c r="J48" s="229"/>
      <c r="K48" s="229"/>
      <c r="L48" s="439"/>
      <c r="M48" s="439"/>
      <c r="N48" s="439"/>
      <c r="O48" s="439"/>
      <c r="P48" s="439"/>
      <c r="Q48" s="439"/>
      <c r="R48" s="439"/>
      <c r="S48" s="439"/>
      <c r="T48" s="441"/>
      <c r="U48" s="445"/>
      <c r="V48" s="219">
        <f t="shared" si="1"/>
        <v>0</v>
      </c>
      <c r="W48" s="247">
        <f>SUM(L47:T48)</f>
        <v>1</v>
      </c>
    </row>
    <row r="49" spans="22:22">
      <c r="V49" s="251"/>
    </row>
  </sheetData>
  <mergeCells count="207">
    <mergeCell ref="B2:V2"/>
    <mergeCell ref="Q21:Q22"/>
    <mergeCell ref="R31:R32"/>
    <mergeCell ref="N21:N22"/>
    <mergeCell ref="P21:P22"/>
    <mergeCell ref="M7:M8"/>
    <mergeCell ref="R15:R16"/>
    <mergeCell ref="T35:T36"/>
    <mergeCell ref="Q23:Q24"/>
    <mergeCell ref="L5:L6"/>
    <mergeCell ref="L4:T4"/>
    <mergeCell ref="S23:S24"/>
    <mergeCell ref="N5:N6"/>
    <mergeCell ref="P23:P24"/>
    <mergeCell ref="T21:T22"/>
    <mergeCell ref="C28:K28"/>
    <mergeCell ref="N13:N14"/>
    <mergeCell ref="P13:P14"/>
    <mergeCell ref="N15:N16"/>
    <mergeCell ref="P15:P16"/>
    <mergeCell ref="R23:R24"/>
    <mergeCell ref="U47:U48"/>
    <mergeCell ref="U41:U42"/>
    <mergeCell ref="P7:P8"/>
    <mergeCell ref="L39:L40"/>
    <mergeCell ref="L45:L46"/>
    <mergeCell ref="N39:N40"/>
    <mergeCell ref="T41:T42"/>
    <mergeCell ref="T11:T12"/>
    <mergeCell ref="U43:U44"/>
    <mergeCell ref="M17:M18"/>
    <mergeCell ref="T13:T14"/>
    <mergeCell ref="O17:O18"/>
    <mergeCell ref="S33:S34"/>
    <mergeCell ref="T7:T8"/>
    <mergeCell ref="Q17:Q18"/>
    <mergeCell ref="U33:U34"/>
    <mergeCell ref="Q11:Q12"/>
    <mergeCell ref="L31:L32"/>
    <mergeCell ref="U29:U30"/>
    <mergeCell ref="R33:R34"/>
    <mergeCell ref="T15:T16"/>
    <mergeCell ref="O19:O20"/>
    <mergeCell ref="S35:S36"/>
    <mergeCell ref="U35:U36"/>
    <mergeCell ref="C4:K4"/>
    <mergeCell ref="U15:U16"/>
    <mergeCell ref="R19:R20"/>
    <mergeCell ref="O5:O6"/>
    <mergeCell ref="Q5:Q6"/>
    <mergeCell ref="M39:M40"/>
    <mergeCell ref="P9:P10"/>
    <mergeCell ref="N41:N42"/>
    <mergeCell ref="S7:S8"/>
    <mergeCell ref="U7:U8"/>
    <mergeCell ref="Q39:Q40"/>
    <mergeCell ref="P11:P12"/>
    <mergeCell ref="T9:T10"/>
    <mergeCell ref="S39:S40"/>
    <mergeCell ref="M13:M14"/>
    <mergeCell ref="O29:O30"/>
    <mergeCell ref="L33:L34"/>
    <mergeCell ref="P35:P36"/>
    <mergeCell ref="U31:U32"/>
    <mergeCell ref="R13:R14"/>
    <mergeCell ref="T5:T6"/>
    <mergeCell ref="P39:P40"/>
    <mergeCell ref="R17:R18"/>
    <mergeCell ref="O47:O48"/>
    <mergeCell ref="T17:T18"/>
    <mergeCell ref="S37:S38"/>
    <mergeCell ref="L29:L30"/>
    <mergeCell ref="U37:U38"/>
    <mergeCell ref="N29:N30"/>
    <mergeCell ref="M37:M38"/>
    <mergeCell ref="R45:R46"/>
    <mergeCell ref="O31:O32"/>
    <mergeCell ref="L35:L36"/>
    <mergeCell ref="Q31:Q32"/>
    <mergeCell ref="M21:M22"/>
    <mergeCell ref="P47:P48"/>
    <mergeCell ref="N31:N32"/>
    <mergeCell ref="R47:R48"/>
    <mergeCell ref="L21:L22"/>
    <mergeCell ref="M41:M42"/>
    <mergeCell ref="P37:P38"/>
    <mergeCell ref="M23:M24"/>
    <mergeCell ref="O23:O24"/>
    <mergeCell ref="T31:T32"/>
    <mergeCell ref="L7:L8"/>
    <mergeCell ref="N7:N8"/>
    <mergeCell ref="S31:S32"/>
    <mergeCell ref="M5:M6"/>
    <mergeCell ref="P41:P42"/>
    <mergeCell ref="S11:S12"/>
    <mergeCell ref="N19:N20"/>
    <mergeCell ref="O7:O8"/>
    <mergeCell ref="Q7:Q8"/>
    <mergeCell ref="P5:P6"/>
    <mergeCell ref="R5:R6"/>
    <mergeCell ref="M9:M10"/>
    <mergeCell ref="O9:O10"/>
    <mergeCell ref="O39:O40"/>
    <mergeCell ref="R7:R8"/>
    <mergeCell ref="M11:M12"/>
    <mergeCell ref="Q29:Q30"/>
    <mergeCell ref="N33:N34"/>
    <mergeCell ref="U45:U46"/>
    <mergeCell ref="O35:O36"/>
    <mergeCell ref="M15:M16"/>
    <mergeCell ref="Q35:Q36"/>
    <mergeCell ref="S13:S14"/>
    <mergeCell ref="N17:N18"/>
    <mergeCell ref="R21:R22"/>
    <mergeCell ref="U13:U14"/>
    <mergeCell ref="P17:P18"/>
    <mergeCell ref="Q19:Q20"/>
    <mergeCell ref="O21:O22"/>
    <mergeCell ref="Q15:Q16"/>
    <mergeCell ref="S15:S16"/>
    <mergeCell ref="M43:M44"/>
    <mergeCell ref="U9:U10"/>
    <mergeCell ref="Q41:Q42"/>
    <mergeCell ref="T37:T38"/>
    <mergeCell ref="S41:S42"/>
    <mergeCell ref="U19:U20"/>
    <mergeCell ref="O45:O46"/>
    <mergeCell ref="N11:N12"/>
    <mergeCell ref="U23:U24"/>
    <mergeCell ref="R9:R10"/>
    <mergeCell ref="M29:M30"/>
    <mergeCell ref="T33:T34"/>
    <mergeCell ref="R11:R12"/>
    <mergeCell ref="N45:N46"/>
    <mergeCell ref="P45:P46"/>
    <mergeCell ref="R39:R40"/>
    <mergeCell ref="R41:R42"/>
    <mergeCell ref="T23:T24"/>
    <mergeCell ref="B26:V26"/>
    <mergeCell ref="Q45:Q46"/>
    <mergeCell ref="T45:T46"/>
    <mergeCell ref="U11:U12"/>
    <mergeCell ref="Q43:Q44"/>
    <mergeCell ref="S43:S44"/>
    <mergeCell ref="O33:O34"/>
    <mergeCell ref="T29:T30"/>
    <mergeCell ref="Q33:Q34"/>
    <mergeCell ref="N43:N44"/>
    <mergeCell ref="L43:L44"/>
    <mergeCell ref="B1:V1"/>
    <mergeCell ref="P31:P32"/>
    <mergeCell ref="M35:M36"/>
    <mergeCell ref="S19:S20"/>
    <mergeCell ref="M31:M32"/>
    <mergeCell ref="Q9:Q10"/>
    <mergeCell ref="S9:S10"/>
    <mergeCell ref="O41:O42"/>
    <mergeCell ref="R37:R38"/>
    <mergeCell ref="L23:L24"/>
    <mergeCell ref="N23:N24"/>
    <mergeCell ref="N35:N36"/>
    <mergeCell ref="S5:S6"/>
    <mergeCell ref="U5:U6"/>
    <mergeCell ref="M33:M34"/>
    <mergeCell ref="R35:R36"/>
    <mergeCell ref="P19:P20"/>
    <mergeCell ref="L9:L10"/>
    <mergeCell ref="N9:N10"/>
    <mergeCell ref="U21:U22"/>
    <mergeCell ref="L41:L42"/>
    <mergeCell ref="O11:O12"/>
    <mergeCell ref="T19:T20"/>
    <mergeCell ref="L11:L12"/>
    <mergeCell ref="U39:U40"/>
    <mergeCell ref="P43:P44"/>
    <mergeCell ref="R43:R44"/>
    <mergeCell ref="T43:T44"/>
    <mergeCell ref="O13:O14"/>
    <mergeCell ref="Q13:Q14"/>
    <mergeCell ref="L17:L18"/>
    <mergeCell ref="S29:S30"/>
    <mergeCell ref="P33:P34"/>
    <mergeCell ref="M19:M20"/>
    <mergeCell ref="S17:S18"/>
    <mergeCell ref="U17:U18"/>
    <mergeCell ref="L37:L38"/>
    <mergeCell ref="L15:L16"/>
    <mergeCell ref="N37:N38"/>
    <mergeCell ref="O43:O44"/>
    <mergeCell ref="L13:L14"/>
    <mergeCell ref="Q47:Q48"/>
    <mergeCell ref="T39:T40"/>
    <mergeCell ref="S47:S48"/>
    <mergeCell ref="S21:S22"/>
    <mergeCell ref="L28:T28"/>
    <mergeCell ref="P29:P30"/>
    <mergeCell ref="O37:O38"/>
    <mergeCell ref="R29:R30"/>
    <mergeCell ref="O15:O16"/>
    <mergeCell ref="Q37:Q38"/>
    <mergeCell ref="L19:L20"/>
    <mergeCell ref="S45:S46"/>
    <mergeCell ref="T47:T48"/>
    <mergeCell ref="L47:L48"/>
    <mergeCell ref="N47:N48"/>
    <mergeCell ref="M45:M46"/>
    <mergeCell ref="M47:M48"/>
  </mergeCells>
  <pageMargins left="0.24" right="0.17" top="0.19" bottom="0.25" header="0.18" footer="0.2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32">
    <tabColor rgb="FFFF0000"/>
  </sheetPr>
  <dimension ref="A1:W49"/>
  <sheetViews>
    <sheetView workbookViewId="0">
      <selection activeCell="P31" sqref="P31:P32"/>
    </sheetView>
  </sheetViews>
  <sheetFormatPr defaultColWidth="9.109375" defaultRowHeight="13.8"/>
  <cols>
    <col min="1" max="1" width="2.44140625" style="209" customWidth="1"/>
    <col min="2" max="2" width="5.88671875" style="209" customWidth="1"/>
    <col min="3" max="5" width="4" style="209" bestFit="1" customWidth="1"/>
    <col min="6" max="11" width="3.6640625" style="209" customWidth="1"/>
    <col min="12" max="14" width="4" style="209" bestFit="1" customWidth="1"/>
    <col min="15" max="20" width="3.6640625" style="209" customWidth="1"/>
    <col min="21" max="21" width="18.5546875" style="209" customWidth="1"/>
    <col min="22" max="22" width="9.5546875" style="211" customWidth="1"/>
    <col min="23" max="23" width="1" style="209" customWidth="1"/>
    <col min="24" max="24" width="9.109375" style="209" customWidth="1"/>
    <col min="25" max="16384" width="9.109375" style="209"/>
  </cols>
  <sheetData>
    <row r="1" spans="1:23" ht="31.5" customHeight="1" thickBot="1">
      <c r="B1" s="446" t="s">
        <v>111</v>
      </c>
      <c r="C1" s="447"/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  <c r="Q1" s="447"/>
      <c r="R1" s="447"/>
      <c r="S1" s="447"/>
      <c r="T1" s="447"/>
      <c r="U1" s="447"/>
      <c r="V1" s="448"/>
    </row>
    <row r="2" spans="1:23" s="210" customFormat="1" ht="28.5" customHeight="1" thickBot="1">
      <c r="B2" s="450" t="s">
        <v>102</v>
      </c>
      <c r="C2" s="411"/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03"/>
    </row>
    <row r="3" spans="1:23" ht="11.25" customHeight="1" thickBot="1"/>
    <row r="4" spans="1:23" ht="24.75" customHeight="1" thickBot="1">
      <c r="B4" s="212" t="s">
        <v>32</v>
      </c>
      <c r="C4" s="451" t="s">
        <v>103</v>
      </c>
      <c r="D4" s="411"/>
      <c r="E4" s="411"/>
      <c r="F4" s="411"/>
      <c r="G4" s="411"/>
      <c r="H4" s="411"/>
      <c r="I4" s="411"/>
      <c r="J4" s="411"/>
      <c r="K4" s="411"/>
      <c r="L4" s="443" t="s">
        <v>104</v>
      </c>
      <c r="M4" s="411"/>
      <c r="N4" s="411"/>
      <c r="O4" s="411"/>
      <c r="P4" s="411"/>
      <c r="Q4" s="411"/>
      <c r="R4" s="411"/>
      <c r="S4" s="411"/>
      <c r="T4" s="411"/>
      <c r="U4" s="213" t="s">
        <v>98</v>
      </c>
      <c r="V4" s="214" t="s">
        <v>105</v>
      </c>
    </row>
    <row r="5" spans="1:23" ht="15" customHeight="1">
      <c r="A5" s="215">
        <v>1</v>
      </c>
      <c r="B5" s="216" t="s">
        <v>106</v>
      </c>
      <c r="C5" s="217">
        <v>0</v>
      </c>
      <c r="D5" s="218"/>
      <c r="E5" s="218"/>
      <c r="F5" s="218"/>
      <c r="G5" s="218"/>
      <c r="H5" s="218"/>
      <c r="I5" s="218"/>
      <c r="J5" s="218"/>
      <c r="K5" s="218"/>
      <c r="L5" s="442">
        <v>1</v>
      </c>
      <c r="M5" s="442"/>
      <c r="N5" s="442"/>
      <c r="O5" s="442"/>
      <c r="P5" s="442"/>
      <c r="Q5" s="442"/>
      <c r="R5" s="442"/>
      <c r="S5" s="442"/>
      <c r="T5" s="449"/>
      <c r="U5" s="444" t="str">
        <f>'Časový snímek'!C26</f>
        <v>Zakládání</v>
      </c>
      <c r="V5" s="219">
        <f t="shared" ref="V5:V24" si="0">ROUND(SUM(C5:K5)/W5*60,0)</f>
        <v>0</v>
      </c>
      <c r="W5" s="220">
        <f>SUM(L5:T6)</f>
        <v>1</v>
      </c>
    </row>
    <row r="6" spans="1:23" ht="15" customHeight="1" thickBot="1">
      <c r="A6" s="215">
        <v>2</v>
      </c>
      <c r="B6" s="216" t="s">
        <v>107</v>
      </c>
      <c r="C6" s="221">
        <v>0</v>
      </c>
      <c r="D6" s="222"/>
      <c r="E6" s="222"/>
      <c r="F6" s="222"/>
      <c r="G6" s="222"/>
      <c r="H6" s="222"/>
      <c r="I6" s="222"/>
      <c r="J6" s="222"/>
      <c r="K6" s="222"/>
      <c r="L6" s="439"/>
      <c r="M6" s="439"/>
      <c r="N6" s="439"/>
      <c r="O6" s="439"/>
      <c r="P6" s="439"/>
      <c r="Q6" s="439"/>
      <c r="R6" s="439"/>
      <c r="S6" s="439"/>
      <c r="T6" s="441"/>
      <c r="U6" s="445"/>
      <c r="V6" s="219">
        <f t="shared" si="0"/>
        <v>0</v>
      </c>
      <c r="W6" s="220">
        <f>SUM(L5:T6)</f>
        <v>1</v>
      </c>
    </row>
    <row r="7" spans="1:23" ht="15" customHeight="1">
      <c r="A7" s="215">
        <v>3</v>
      </c>
      <c r="B7" s="223" t="s">
        <v>106</v>
      </c>
      <c r="C7" s="224">
        <v>0</v>
      </c>
      <c r="D7" s="225"/>
      <c r="E7" s="225"/>
      <c r="F7" s="225"/>
      <c r="G7" s="225"/>
      <c r="H7" s="225"/>
      <c r="I7" s="225"/>
      <c r="J7" s="225"/>
      <c r="K7" s="225"/>
      <c r="L7" s="438">
        <v>1</v>
      </c>
      <c r="M7" s="438"/>
      <c r="N7" s="438"/>
      <c r="O7" s="438"/>
      <c r="P7" s="438"/>
      <c r="Q7" s="438"/>
      <c r="R7" s="438"/>
      <c r="S7" s="438"/>
      <c r="T7" s="440"/>
      <c r="U7" s="444" t="str">
        <f>'Časový snímek'!C27</f>
        <v>Bezpečnostní přestávka</v>
      </c>
      <c r="V7" s="226">
        <f t="shared" si="0"/>
        <v>0</v>
      </c>
      <c r="W7" s="220">
        <f>SUM(L7:T8)</f>
        <v>1</v>
      </c>
    </row>
    <row r="8" spans="1:23" ht="15" customHeight="1" thickBot="1">
      <c r="A8" s="215">
        <v>4</v>
      </c>
      <c r="B8" s="227" t="s">
        <v>107</v>
      </c>
      <c r="C8" s="228">
        <v>0</v>
      </c>
      <c r="D8" s="229"/>
      <c r="E8" s="229"/>
      <c r="F8" s="229"/>
      <c r="G8" s="229"/>
      <c r="H8" s="229"/>
      <c r="I8" s="229"/>
      <c r="J8" s="229"/>
      <c r="K8" s="229"/>
      <c r="L8" s="439"/>
      <c r="M8" s="439"/>
      <c r="N8" s="439"/>
      <c r="O8" s="439"/>
      <c r="P8" s="439"/>
      <c r="Q8" s="439"/>
      <c r="R8" s="439"/>
      <c r="S8" s="439"/>
      <c r="T8" s="441"/>
      <c r="U8" s="445"/>
      <c r="V8" s="230">
        <f t="shared" si="0"/>
        <v>0</v>
      </c>
      <c r="W8" s="220">
        <f>SUM(L7:T8)</f>
        <v>1</v>
      </c>
    </row>
    <row r="9" spans="1:23" ht="15" customHeight="1">
      <c r="A9" s="215">
        <v>5</v>
      </c>
      <c r="B9" s="216" t="s">
        <v>106</v>
      </c>
      <c r="C9" s="217">
        <v>0</v>
      </c>
      <c r="D9" s="218"/>
      <c r="E9" s="218"/>
      <c r="F9" s="218"/>
      <c r="G9" s="218"/>
      <c r="H9" s="218"/>
      <c r="I9" s="218"/>
      <c r="J9" s="218"/>
      <c r="K9" s="218"/>
      <c r="L9" s="442">
        <v>1</v>
      </c>
      <c r="M9" s="442"/>
      <c r="N9" s="442"/>
      <c r="O9" s="442"/>
      <c r="P9" s="442"/>
      <c r="Q9" s="442"/>
      <c r="R9" s="442"/>
      <c r="S9" s="442"/>
      <c r="T9" s="449"/>
      <c r="U9" s="444" t="str">
        <f>'Časový snímek'!C28</f>
        <v>Přestávka na jídlo a oddech</v>
      </c>
      <c r="V9" s="219">
        <f t="shared" si="0"/>
        <v>0</v>
      </c>
      <c r="W9" s="220">
        <f>SUM(L9:T10)</f>
        <v>1</v>
      </c>
    </row>
    <row r="10" spans="1:23" ht="15" customHeight="1" thickBot="1">
      <c r="A10" s="215">
        <v>6</v>
      </c>
      <c r="B10" s="216" t="s">
        <v>107</v>
      </c>
      <c r="C10" s="221">
        <v>0</v>
      </c>
      <c r="D10" s="222"/>
      <c r="E10" s="222"/>
      <c r="F10" s="222"/>
      <c r="G10" s="222"/>
      <c r="H10" s="222"/>
      <c r="I10" s="222"/>
      <c r="J10" s="222"/>
      <c r="K10" s="222"/>
      <c r="L10" s="439"/>
      <c r="M10" s="439"/>
      <c r="N10" s="439"/>
      <c r="O10" s="439"/>
      <c r="P10" s="439"/>
      <c r="Q10" s="439"/>
      <c r="R10" s="439"/>
      <c r="S10" s="439"/>
      <c r="T10" s="441"/>
      <c r="U10" s="445"/>
      <c r="V10" s="219">
        <f t="shared" si="0"/>
        <v>0</v>
      </c>
      <c r="W10" s="220">
        <f>SUM(L9:T10)</f>
        <v>1</v>
      </c>
    </row>
    <row r="11" spans="1:23" ht="15" customHeight="1">
      <c r="A11" s="215">
        <v>7</v>
      </c>
      <c r="B11" s="223" t="s">
        <v>106</v>
      </c>
      <c r="C11" s="224">
        <v>0</v>
      </c>
      <c r="D11" s="225"/>
      <c r="E11" s="225"/>
      <c r="F11" s="225"/>
      <c r="G11" s="225"/>
      <c r="H11" s="225"/>
      <c r="I11" s="225"/>
      <c r="J11" s="225"/>
      <c r="K11" s="225"/>
      <c r="L11" s="438">
        <v>1</v>
      </c>
      <c r="M11" s="438"/>
      <c r="N11" s="438"/>
      <c r="O11" s="438"/>
      <c r="P11" s="438"/>
      <c r="Q11" s="438"/>
      <c r="R11" s="438"/>
      <c r="S11" s="438"/>
      <c r="T11" s="440"/>
      <c r="U11" s="444">
        <f>'Časový snímek'!C29</f>
        <v>0</v>
      </c>
      <c r="V11" s="226">
        <f t="shared" si="0"/>
        <v>0</v>
      </c>
      <c r="W11" s="220">
        <f>SUM(L11:T12)</f>
        <v>1</v>
      </c>
    </row>
    <row r="12" spans="1:23" ht="15" customHeight="1" thickBot="1">
      <c r="A12" s="215">
        <v>8</v>
      </c>
      <c r="B12" s="227" t="s">
        <v>107</v>
      </c>
      <c r="C12" s="228">
        <v>0</v>
      </c>
      <c r="D12" s="229"/>
      <c r="E12" s="229"/>
      <c r="F12" s="229"/>
      <c r="G12" s="229"/>
      <c r="H12" s="229"/>
      <c r="I12" s="229"/>
      <c r="J12" s="229"/>
      <c r="K12" s="229"/>
      <c r="L12" s="439"/>
      <c r="M12" s="439"/>
      <c r="N12" s="439"/>
      <c r="O12" s="439"/>
      <c r="P12" s="439"/>
      <c r="Q12" s="439"/>
      <c r="R12" s="439"/>
      <c r="S12" s="439"/>
      <c r="T12" s="441"/>
      <c r="U12" s="445"/>
      <c r="V12" s="230">
        <f t="shared" si="0"/>
        <v>0</v>
      </c>
      <c r="W12" s="220">
        <f>SUM(L11:T12)</f>
        <v>1</v>
      </c>
    </row>
    <row r="13" spans="1:23" ht="15" customHeight="1">
      <c r="A13" s="215">
        <v>9</v>
      </c>
      <c r="B13" s="216" t="s">
        <v>106</v>
      </c>
      <c r="C13" s="217">
        <v>0</v>
      </c>
      <c r="D13" s="218"/>
      <c r="E13" s="218"/>
      <c r="F13" s="218"/>
      <c r="G13" s="218"/>
      <c r="H13" s="218"/>
      <c r="I13" s="218"/>
      <c r="J13" s="218"/>
      <c r="K13" s="218"/>
      <c r="L13" s="442">
        <v>1</v>
      </c>
      <c r="M13" s="442"/>
      <c r="N13" s="442"/>
      <c r="O13" s="442"/>
      <c r="P13" s="442"/>
      <c r="Q13" s="442"/>
      <c r="R13" s="442"/>
      <c r="S13" s="442"/>
      <c r="T13" s="449"/>
      <c r="U13" s="444">
        <f>'Časový snímek'!C30</f>
        <v>0</v>
      </c>
      <c r="V13" s="219">
        <f t="shared" si="0"/>
        <v>0</v>
      </c>
      <c r="W13" s="220">
        <f>SUM(L13:T14)</f>
        <v>1</v>
      </c>
    </row>
    <row r="14" spans="1:23" ht="15" customHeight="1" thickBot="1">
      <c r="A14" s="215">
        <v>10</v>
      </c>
      <c r="B14" s="216" t="s">
        <v>107</v>
      </c>
      <c r="C14" s="221">
        <v>0</v>
      </c>
      <c r="D14" s="222"/>
      <c r="E14" s="222"/>
      <c r="F14" s="222"/>
      <c r="G14" s="222"/>
      <c r="H14" s="222"/>
      <c r="I14" s="222"/>
      <c r="J14" s="222"/>
      <c r="K14" s="222"/>
      <c r="L14" s="439"/>
      <c r="M14" s="439"/>
      <c r="N14" s="439"/>
      <c r="O14" s="439"/>
      <c r="P14" s="439"/>
      <c r="Q14" s="439"/>
      <c r="R14" s="439"/>
      <c r="S14" s="439"/>
      <c r="T14" s="441"/>
      <c r="U14" s="445"/>
      <c r="V14" s="219">
        <f t="shared" si="0"/>
        <v>0</v>
      </c>
      <c r="W14" s="220">
        <f>SUM(L13:T14)</f>
        <v>1</v>
      </c>
    </row>
    <row r="15" spans="1:23" ht="15" customHeight="1">
      <c r="A15" s="215">
        <v>11</v>
      </c>
      <c r="B15" s="223" t="s">
        <v>106</v>
      </c>
      <c r="C15" s="224">
        <v>0</v>
      </c>
      <c r="D15" s="225"/>
      <c r="E15" s="225"/>
      <c r="F15" s="225"/>
      <c r="G15" s="225"/>
      <c r="H15" s="225"/>
      <c r="I15" s="225"/>
      <c r="J15" s="225"/>
      <c r="K15" s="225"/>
      <c r="L15" s="438">
        <v>1</v>
      </c>
      <c r="M15" s="438"/>
      <c r="N15" s="438"/>
      <c r="O15" s="438"/>
      <c r="P15" s="438"/>
      <c r="Q15" s="438"/>
      <c r="R15" s="438"/>
      <c r="S15" s="438"/>
      <c r="T15" s="440"/>
      <c r="U15" s="444">
        <f>'Časový snímek'!C31</f>
        <v>0</v>
      </c>
      <c r="V15" s="226">
        <f t="shared" si="0"/>
        <v>0</v>
      </c>
      <c r="W15" s="220">
        <f>SUM(L15:T16)</f>
        <v>1</v>
      </c>
    </row>
    <row r="16" spans="1:23" ht="15" customHeight="1" thickBot="1">
      <c r="A16" s="215">
        <v>12</v>
      </c>
      <c r="B16" s="227" t="s">
        <v>107</v>
      </c>
      <c r="C16" s="228">
        <v>0</v>
      </c>
      <c r="D16" s="229"/>
      <c r="E16" s="229"/>
      <c r="F16" s="229"/>
      <c r="G16" s="229"/>
      <c r="H16" s="229"/>
      <c r="I16" s="229"/>
      <c r="J16" s="229"/>
      <c r="K16" s="229"/>
      <c r="L16" s="439"/>
      <c r="M16" s="439"/>
      <c r="N16" s="439"/>
      <c r="O16" s="439"/>
      <c r="P16" s="439"/>
      <c r="Q16" s="439"/>
      <c r="R16" s="439"/>
      <c r="S16" s="439"/>
      <c r="T16" s="441"/>
      <c r="U16" s="445"/>
      <c r="V16" s="230">
        <f t="shared" si="0"/>
        <v>0</v>
      </c>
      <c r="W16" s="220">
        <f>SUM(L15:T16)</f>
        <v>1</v>
      </c>
    </row>
    <row r="17" spans="1:23" ht="15" customHeight="1">
      <c r="A17" s="215">
        <v>13</v>
      </c>
      <c r="B17" s="216" t="s">
        <v>106</v>
      </c>
      <c r="C17" s="217">
        <v>0</v>
      </c>
      <c r="D17" s="218"/>
      <c r="E17" s="218"/>
      <c r="F17" s="218"/>
      <c r="G17" s="218"/>
      <c r="H17" s="218"/>
      <c r="I17" s="218"/>
      <c r="J17" s="218"/>
      <c r="K17" s="218"/>
      <c r="L17" s="442">
        <v>1</v>
      </c>
      <c r="M17" s="442"/>
      <c r="N17" s="442"/>
      <c r="O17" s="442"/>
      <c r="P17" s="442"/>
      <c r="Q17" s="442"/>
      <c r="R17" s="442"/>
      <c r="S17" s="442"/>
      <c r="T17" s="449"/>
      <c r="U17" s="444">
        <f>'Časový snímek'!C32</f>
        <v>0</v>
      </c>
      <c r="V17" s="219">
        <f t="shared" si="0"/>
        <v>0</v>
      </c>
      <c r="W17" s="220">
        <f>SUM(L17:T18)</f>
        <v>1</v>
      </c>
    </row>
    <row r="18" spans="1:23" ht="15" customHeight="1" thickBot="1">
      <c r="A18" s="215">
        <v>14</v>
      </c>
      <c r="B18" s="216" t="s">
        <v>107</v>
      </c>
      <c r="C18" s="221">
        <v>0</v>
      </c>
      <c r="D18" s="222"/>
      <c r="E18" s="222"/>
      <c r="F18" s="222"/>
      <c r="G18" s="222"/>
      <c r="H18" s="222"/>
      <c r="I18" s="222"/>
      <c r="J18" s="222"/>
      <c r="K18" s="222"/>
      <c r="L18" s="439"/>
      <c r="M18" s="439"/>
      <c r="N18" s="439"/>
      <c r="O18" s="439"/>
      <c r="P18" s="439"/>
      <c r="Q18" s="439"/>
      <c r="R18" s="439"/>
      <c r="S18" s="439"/>
      <c r="T18" s="441"/>
      <c r="U18" s="445"/>
      <c r="V18" s="219">
        <f t="shared" si="0"/>
        <v>0</v>
      </c>
      <c r="W18" s="220">
        <f>SUM(L17:T18)</f>
        <v>1</v>
      </c>
    </row>
    <row r="19" spans="1:23" ht="15" customHeight="1">
      <c r="A19" s="215">
        <v>15</v>
      </c>
      <c r="B19" s="223" t="s">
        <v>106</v>
      </c>
      <c r="C19" s="224">
        <v>0</v>
      </c>
      <c r="D19" s="225"/>
      <c r="E19" s="225"/>
      <c r="F19" s="225"/>
      <c r="G19" s="225"/>
      <c r="H19" s="225"/>
      <c r="I19" s="225"/>
      <c r="J19" s="225"/>
      <c r="K19" s="225"/>
      <c r="L19" s="438">
        <v>1</v>
      </c>
      <c r="M19" s="438"/>
      <c r="N19" s="438"/>
      <c r="O19" s="438"/>
      <c r="P19" s="438"/>
      <c r="Q19" s="438"/>
      <c r="R19" s="438"/>
      <c r="S19" s="438"/>
      <c r="T19" s="440"/>
      <c r="U19" s="444">
        <f>'Časový snímek'!C33</f>
        <v>0</v>
      </c>
      <c r="V19" s="226">
        <f t="shared" si="0"/>
        <v>0</v>
      </c>
      <c r="W19" s="220">
        <f>SUM(L19:T20)</f>
        <v>1</v>
      </c>
    </row>
    <row r="20" spans="1:23" ht="15" customHeight="1" thickBot="1">
      <c r="A20" s="215">
        <v>16</v>
      </c>
      <c r="B20" s="227" t="s">
        <v>107</v>
      </c>
      <c r="C20" s="228">
        <v>0</v>
      </c>
      <c r="D20" s="229"/>
      <c r="E20" s="229"/>
      <c r="F20" s="229"/>
      <c r="G20" s="229"/>
      <c r="H20" s="229"/>
      <c r="I20" s="229"/>
      <c r="J20" s="229"/>
      <c r="K20" s="229"/>
      <c r="L20" s="439"/>
      <c r="M20" s="439"/>
      <c r="N20" s="439"/>
      <c r="O20" s="439"/>
      <c r="P20" s="439"/>
      <c r="Q20" s="439"/>
      <c r="R20" s="439"/>
      <c r="S20" s="439"/>
      <c r="T20" s="441"/>
      <c r="U20" s="445"/>
      <c r="V20" s="230">
        <f t="shared" si="0"/>
        <v>0</v>
      </c>
      <c r="W20" s="220">
        <f>SUM(L19:T20)</f>
        <v>1</v>
      </c>
    </row>
    <row r="21" spans="1:23" ht="15" customHeight="1">
      <c r="A21" s="215">
        <v>17</v>
      </c>
      <c r="B21" s="216" t="s">
        <v>106</v>
      </c>
      <c r="C21" s="217">
        <v>0</v>
      </c>
      <c r="D21" s="218"/>
      <c r="E21" s="218"/>
      <c r="F21" s="218"/>
      <c r="G21" s="218"/>
      <c r="H21" s="218"/>
      <c r="I21" s="218"/>
      <c r="J21" s="218"/>
      <c r="K21" s="218"/>
      <c r="L21" s="442">
        <v>1</v>
      </c>
      <c r="M21" s="442"/>
      <c r="N21" s="442"/>
      <c r="O21" s="442"/>
      <c r="P21" s="442"/>
      <c r="Q21" s="442"/>
      <c r="R21" s="442"/>
      <c r="S21" s="442"/>
      <c r="T21" s="449"/>
      <c r="U21" s="444">
        <f>'Časový snímek'!C34</f>
        <v>0</v>
      </c>
      <c r="V21" s="219">
        <f t="shared" si="0"/>
        <v>0</v>
      </c>
      <c r="W21" s="220">
        <f>SUM(L21:T22)</f>
        <v>1</v>
      </c>
    </row>
    <row r="22" spans="1:23" ht="15" customHeight="1" thickBot="1">
      <c r="A22" s="215">
        <v>18</v>
      </c>
      <c r="B22" s="216" t="s">
        <v>107</v>
      </c>
      <c r="C22" s="221">
        <v>0</v>
      </c>
      <c r="D22" s="222"/>
      <c r="E22" s="222"/>
      <c r="F22" s="222"/>
      <c r="G22" s="222"/>
      <c r="H22" s="222"/>
      <c r="I22" s="222"/>
      <c r="J22" s="222"/>
      <c r="K22" s="222"/>
      <c r="L22" s="439"/>
      <c r="M22" s="439"/>
      <c r="N22" s="439"/>
      <c r="O22" s="439"/>
      <c r="P22" s="439"/>
      <c r="Q22" s="439"/>
      <c r="R22" s="439"/>
      <c r="S22" s="439"/>
      <c r="T22" s="441"/>
      <c r="U22" s="445"/>
      <c r="V22" s="219">
        <f t="shared" si="0"/>
        <v>0</v>
      </c>
      <c r="W22" s="220">
        <f>SUM(L21:T22)</f>
        <v>1</v>
      </c>
    </row>
    <row r="23" spans="1:23" ht="15" customHeight="1">
      <c r="A23" s="215">
        <v>19</v>
      </c>
      <c r="B23" s="223" t="s">
        <v>106</v>
      </c>
      <c r="C23" s="224">
        <v>0</v>
      </c>
      <c r="D23" s="225"/>
      <c r="E23" s="225"/>
      <c r="F23" s="225"/>
      <c r="G23" s="225"/>
      <c r="H23" s="225"/>
      <c r="I23" s="225"/>
      <c r="J23" s="225"/>
      <c r="K23" s="225"/>
      <c r="L23" s="438">
        <v>1</v>
      </c>
      <c r="M23" s="438"/>
      <c r="N23" s="438"/>
      <c r="O23" s="438"/>
      <c r="P23" s="438"/>
      <c r="Q23" s="438"/>
      <c r="R23" s="438"/>
      <c r="S23" s="438"/>
      <c r="T23" s="440"/>
      <c r="U23" s="444">
        <f>'Časový snímek'!C35</f>
        <v>0</v>
      </c>
      <c r="V23" s="226">
        <f t="shared" si="0"/>
        <v>0</v>
      </c>
      <c r="W23" s="220">
        <f>SUM(L23:T24)</f>
        <v>1</v>
      </c>
    </row>
    <row r="24" spans="1:23" ht="15" customHeight="1" thickBot="1">
      <c r="A24" s="215">
        <v>20</v>
      </c>
      <c r="B24" s="227" t="s">
        <v>107</v>
      </c>
      <c r="C24" s="228">
        <v>0</v>
      </c>
      <c r="D24" s="229"/>
      <c r="E24" s="229"/>
      <c r="F24" s="229"/>
      <c r="G24" s="229"/>
      <c r="H24" s="229"/>
      <c r="I24" s="229"/>
      <c r="J24" s="229"/>
      <c r="K24" s="229"/>
      <c r="L24" s="439"/>
      <c r="M24" s="439"/>
      <c r="N24" s="439"/>
      <c r="O24" s="439"/>
      <c r="P24" s="439"/>
      <c r="Q24" s="439"/>
      <c r="R24" s="439"/>
      <c r="S24" s="439"/>
      <c r="T24" s="441"/>
      <c r="U24" s="445"/>
      <c r="V24" s="230">
        <f t="shared" si="0"/>
        <v>0</v>
      </c>
      <c r="W24" s="220">
        <f>SUM(L23:T24)</f>
        <v>1</v>
      </c>
    </row>
    <row r="25" spans="1:23" ht="15" customHeight="1" thickBot="1">
      <c r="A25" s="215"/>
      <c r="B25" s="247"/>
      <c r="C25" s="248"/>
      <c r="D25" s="248"/>
      <c r="E25" s="248"/>
      <c r="F25" s="248"/>
      <c r="G25" s="248"/>
      <c r="H25" s="248"/>
      <c r="I25" s="248"/>
      <c r="J25" s="248"/>
      <c r="K25" s="248"/>
      <c r="L25" s="252"/>
      <c r="M25" s="252"/>
      <c r="N25" s="252"/>
      <c r="O25" s="252"/>
      <c r="P25" s="252"/>
      <c r="Q25" s="252"/>
      <c r="R25" s="252"/>
      <c r="S25" s="252"/>
      <c r="T25" s="252"/>
      <c r="U25" s="253"/>
      <c r="V25" s="249"/>
      <c r="W25" s="220"/>
    </row>
    <row r="26" spans="1:23" ht="28.5" customHeight="1" thickBot="1">
      <c r="A26" s="215"/>
      <c r="B26" s="450" t="s">
        <v>108</v>
      </c>
      <c r="C26" s="411"/>
      <c r="D26" s="411"/>
      <c r="E26" s="411"/>
      <c r="F26" s="411"/>
      <c r="G26" s="411"/>
      <c r="H26" s="411"/>
      <c r="I26" s="411"/>
      <c r="J26" s="411"/>
      <c r="K26" s="411"/>
      <c r="L26" s="411"/>
      <c r="M26" s="411"/>
      <c r="N26" s="411"/>
      <c r="O26" s="411"/>
      <c r="P26" s="411"/>
      <c r="Q26" s="411"/>
      <c r="R26" s="411"/>
      <c r="S26" s="411"/>
      <c r="T26" s="411"/>
      <c r="U26" s="411"/>
      <c r="V26" s="403"/>
      <c r="W26" s="220"/>
    </row>
    <row r="27" spans="1:23" ht="8.25" customHeight="1" thickBot="1">
      <c r="A27" s="215"/>
      <c r="B27" s="247"/>
      <c r="C27" s="248"/>
      <c r="D27" s="248"/>
      <c r="E27" s="248"/>
      <c r="F27" s="248"/>
      <c r="G27" s="248"/>
      <c r="H27" s="248"/>
      <c r="I27" s="248"/>
      <c r="J27" s="248"/>
      <c r="K27" s="248"/>
      <c r="L27" s="252"/>
      <c r="M27" s="252"/>
      <c r="N27" s="252"/>
      <c r="O27" s="252"/>
      <c r="P27" s="252"/>
      <c r="Q27" s="252"/>
      <c r="R27" s="252"/>
      <c r="S27" s="252"/>
      <c r="T27" s="252"/>
      <c r="U27" s="253"/>
      <c r="V27" s="249"/>
      <c r="W27" s="220"/>
    </row>
    <row r="28" spans="1:23" ht="24" customHeight="1" thickBot="1">
      <c r="A28" s="215"/>
      <c r="B28" s="212" t="s">
        <v>32</v>
      </c>
      <c r="C28" s="451" t="s">
        <v>103</v>
      </c>
      <c r="D28" s="411"/>
      <c r="E28" s="411"/>
      <c r="F28" s="411"/>
      <c r="G28" s="411"/>
      <c r="H28" s="411"/>
      <c r="I28" s="411"/>
      <c r="J28" s="411"/>
      <c r="K28" s="411"/>
      <c r="L28" s="443" t="s">
        <v>109</v>
      </c>
      <c r="M28" s="411"/>
      <c r="N28" s="411"/>
      <c r="O28" s="411"/>
      <c r="P28" s="411"/>
      <c r="Q28" s="411"/>
      <c r="R28" s="411"/>
      <c r="S28" s="411"/>
      <c r="T28" s="411"/>
      <c r="U28" s="213" t="s">
        <v>98</v>
      </c>
      <c r="V28" s="214" t="s">
        <v>110</v>
      </c>
      <c r="W28" s="220"/>
    </row>
    <row r="29" spans="1:23" ht="15" customHeight="1" thickBot="1">
      <c r="A29" s="215"/>
      <c r="B29" s="216" t="s">
        <v>106</v>
      </c>
      <c r="C29" s="217">
        <v>0</v>
      </c>
      <c r="D29" s="218"/>
      <c r="E29" s="218"/>
      <c r="F29" s="218"/>
      <c r="G29" s="218"/>
      <c r="H29" s="218"/>
      <c r="I29" s="218"/>
      <c r="J29" s="218"/>
      <c r="K29" s="218"/>
      <c r="L29" s="442">
        <v>1</v>
      </c>
      <c r="M29" s="442"/>
      <c r="N29" s="442"/>
      <c r="O29" s="442"/>
      <c r="P29" s="442"/>
      <c r="Q29" s="442"/>
      <c r="R29" s="442"/>
      <c r="S29" s="442"/>
      <c r="T29" s="449"/>
      <c r="U29" s="444" t="str">
        <f>'Časový snímek'!C26</f>
        <v>Zakládání</v>
      </c>
      <c r="V29" s="230">
        <f t="shared" ref="V29:V48" si="1">ROUND(SUM(C29:K29)/W29,0)</f>
        <v>0</v>
      </c>
      <c r="W29" s="220">
        <f>SUM(L29:T30)</f>
        <v>1</v>
      </c>
    </row>
    <row r="30" spans="1:23" ht="15" customHeight="1" thickBot="1">
      <c r="A30" s="215"/>
      <c r="B30" s="216" t="s">
        <v>107</v>
      </c>
      <c r="C30" s="221">
        <v>0</v>
      </c>
      <c r="D30" s="222"/>
      <c r="E30" s="222"/>
      <c r="F30" s="222"/>
      <c r="G30" s="222"/>
      <c r="H30" s="222"/>
      <c r="I30" s="222"/>
      <c r="J30" s="222"/>
      <c r="K30" s="222"/>
      <c r="L30" s="439"/>
      <c r="M30" s="439"/>
      <c r="N30" s="439"/>
      <c r="O30" s="439"/>
      <c r="P30" s="439"/>
      <c r="Q30" s="439"/>
      <c r="R30" s="439"/>
      <c r="S30" s="439"/>
      <c r="T30" s="441"/>
      <c r="U30" s="445"/>
      <c r="V30" s="230">
        <f t="shared" si="1"/>
        <v>0</v>
      </c>
      <c r="W30" s="220">
        <f>SUM(L29:T30)</f>
        <v>1</v>
      </c>
    </row>
    <row r="31" spans="1:23" ht="15" customHeight="1">
      <c r="A31" s="215"/>
      <c r="B31" s="223" t="s">
        <v>106</v>
      </c>
      <c r="C31" s="224">
        <v>0</v>
      </c>
      <c r="D31" s="225"/>
      <c r="E31" s="225"/>
      <c r="F31" s="225"/>
      <c r="G31" s="225"/>
      <c r="H31" s="225"/>
      <c r="I31" s="225"/>
      <c r="J31" s="225"/>
      <c r="K31" s="225"/>
      <c r="L31" s="438">
        <v>1</v>
      </c>
      <c r="M31" s="438"/>
      <c r="N31" s="438"/>
      <c r="O31" s="438"/>
      <c r="P31" s="438"/>
      <c r="Q31" s="438"/>
      <c r="R31" s="438"/>
      <c r="S31" s="438"/>
      <c r="T31" s="440"/>
      <c r="U31" s="444" t="str">
        <f>'Časový snímek'!C27</f>
        <v>Bezpečnostní přestávka</v>
      </c>
      <c r="V31" s="219">
        <f t="shared" si="1"/>
        <v>0</v>
      </c>
      <c r="W31" s="220">
        <f>SUM(L31:T32)</f>
        <v>1</v>
      </c>
    </row>
    <row r="32" spans="1:23" ht="15" customHeight="1" thickBot="1">
      <c r="A32" s="215"/>
      <c r="B32" s="227" t="s">
        <v>107</v>
      </c>
      <c r="C32" s="228">
        <v>0</v>
      </c>
      <c r="D32" s="229"/>
      <c r="E32" s="229"/>
      <c r="F32" s="229"/>
      <c r="G32" s="229"/>
      <c r="H32" s="229"/>
      <c r="I32" s="229"/>
      <c r="J32" s="229"/>
      <c r="K32" s="229"/>
      <c r="L32" s="439"/>
      <c r="M32" s="439"/>
      <c r="N32" s="439"/>
      <c r="O32" s="439"/>
      <c r="P32" s="439"/>
      <c r="Q32" s="439"/>
      <c r="R32" s="439"/>
      <c r="S32" s="439"/>
      <c r="T32" s="441"/>
      <c r="U32" s="445"/>
      <c r="V32" s="219">
        <f t="shared" si="1"/>
        <v>0</v>
      </c>
      <c r="W32" s="220">
        <f>SUM(L31:T32)</f>
        <v>1</v>
      </c>
    </row>
    <row r="33" spans="1:23" ht="15" customHeight="1">
      <c r="A33" s="215"/>
      <c r="B33" s="216" t="s">
        <v>106</v>
      </c>
      <c r="C33" s="217">
        <v>0</v>
      </c>
      <c r="D33" s="218"/>
      <c r="E33" s="218"/>
      <c r="F33" s="218"/>
      <c r="G33" s="218"/>
      <c r="H33" s="218"/>
      <c r="I33" s="218"/>
      <c r="J33" s="218"/>
      <c r="K33" s="218"/>
      <c r="L33" s="442">
        <v>1</v>
      </c>
      <c r="M33" s="442"/>
      <c r="N33" s="442"/>
      <c r="O33" s="442"/>
      <c r="P33" s="442"/>
      <c r="Q33" s="442"/>
      <c r="R33" s="442"/>
      <c r="S33" s="442"/>
      <c r="T33" s="449"/>
      <c r="U33" s="444" t="str">
        <f>'Časový snímek'!C28</f>
        <v>Přestávka na jídlo a oddech</v>
      </c>
      <c r="V33" s="226">
        <f t="shared" si="1"/>
        <v>0</v>
      </c>
      <c r="W33" s="220">
        <f>SUM(L33:T34)</f>
        <v>1</v>
      </c>
    </row>
    <row r="34" spans="1:23" ht="15" customHeight="1" thickBot="1">
      <c r="A34" s="215"/>
      <c r="B34" s="216" t="s">
        <v>107</v>
      </c>
      <c r="C34" s="221">
        <v>0</v>
      </c>
      <c r="D34" s="222"/>
      <c r="E34" s="222"/>
      <c r="F34" s="222"/>
      <c r="G34" s="222"/>
      <c r="H34" s="222"/>
      <c r="I34" s="222"/>
      <c r="J34" s="222"/>
      <c r="K34" s="222"/>
      <c r="L34" s="439"/>
      <c r="M34" s="439"/>
      <c r="N34" s="439"/>
      <c r="O34" s="439"/>
      <c r="P34" s="439"/>
      <c r="Q34" s="439"/>
      <c r="R34" s="439"/>
      <c r="S34" s="439"/>
      <c r="T34" s="441"/>
      <c r="U34" s="445"/>
      <c r="V34" s="230">
        <f t="shared" si="1"/>
        <v>0</v>
      </c>
      <c r="W34" s="220">
        <f>SUM(L33:T34)</f>
        <v>1</v>
      </c>
    </row>
    <row r="35" spans="1:23" ht="15" customHeight="1">
      <c r="A35" s="215"/>
      <c r="B35" s="223" t="s">
        <v>106</v>
      </c>
      <c r="C35" s="224">
        <v>0</v>
      </c>
      <c r="D35" s="225"/>
      <c r="E35" s="225"/>
      <c r="F35" s="225"/>
      <c r="G35" s="225"/>
      <c r="H35" s="225"/>
      <c r="I35" s="225"/>
      <c r="J35" s="225"/>
      <c r="K35" s="225"/>
      <c r="L35" s="438">
        <v>1</v>
      </c>
      <c r="M35" s="438"/>
      <c r="N35" s="438"/>
      <c r="O35" s="438"/>
      <c r="P35" s="438"/>
      <c r="Q35" s="438"/>
      <c r="R35" s="438"/>
      <c r="S35" s="438"/>
      <c r="T35" s="440"/>
      <c r="U35" s="444">
        <f>'Časový snímek'!C29</f>
        <v>0</v>
      </c>
      <c r="V35" s="219">
        <f t="shared" si="1"/>
        <v>0</v>
      </c>
      <c r="W35" s="220">
        <f>SUM(L35:T36)</f>
        <v>1</v>
      </c>
    </row>
    <row r="36" spans="1:23" ht="15" customHeight="1" thickBot="1">
      <c r="A36" s="215"/>
      <c r="B36" s="227" t="s">
        <v>107</v>
      </c>
      <c r="C36" s="228">
        <v>0</v>
      </c>
      <c r="D36" s="229"/>
      <c r="E36" s="229"/>
      <c r="F36" s="229"/>
      <c r="G36" s="229"/>
      <c r="H36" s="229"/>
      <c r="I36" s="229"/>
      <c r="J36" s="229"/>
      <c r="K36" s="229"/>
      <c r="L36" s="439"/>
      <c r="M36" s="439"/>
      <c r="N36" s="439"/>
      <c r="O36" s="439"/>
      <c r="P36" s="439"/>
      <c r="Q36" s="439"/>
      <c r="R36" s="439"/>
      <c r="S36" s="439"/>
      <c r="T36" s="441"/>
      <c r="U36" s="445"/>
      <c r="V36" s="219">
        <f t="shared" si="1"/>
        <v>0</v>
      </c>
      <c r="W36" s="220">
        <f>SUM(L35:T36)</f>
        <v>1</v>
      </c>
    </row>
    <row r="37" spans="1:23" ht="15" customHeight="1">
      <c r="A37" s="215"/>
      <c r="B37" s="216" t="s">
        <v>106</v>
      </c>
      <c r="C37" s="217">
        <v>0</v>
      </c>
      <c r="D37" s="218"/>
      <c r="E37" s="218"/>
      <c r="F37" s="218"/>
      <c r="G37" s="218"/>
      <c r="H37" s="218"/>
      <c r="I37" s="218"/>
      <c r="J37" s="218"/>
      <c r="K37" s="218"/>
      <c r="L37" s="442">
        <v>1</v>
      </c>
      <c r="M37" s="442"/>
      <c r="N37" s="442"/>
      <c r="O37" s="442"/>
      <c r="P37" s="442"/>
      <c r="Q37" s="442"/>
      <c r="R37" s="442"/>
      <c r="S37" s="442"/>
      <c r="T37" s="449"/>
      <c r="U37" s="444">
        <f>'Časový snímek'!C30</f>
        <v>0</v>
      </c>
      <c r="V37" s="226">
        <f t="shared" si="1"/>
        <v>0</v>
      </c>
      <c r="W37" s="220">
        <f>SUM(L37:T38)</f>
        <v>1</v>
      </c>
    </row>
    <row r="38" spans="1:23" ht="15" customHeight="1" thickBot="1">
      <c r="A38" s="215"/>
      <c r="B38" s="216" t="s">
        <v>107</v>
      </c>
      <c r="C38" s="221">
        <v>0</v>
      </c>
      <c r="D38" s="222"/>
      <c r="E38" s="222"/>
      <c r="F38" s="222"/>
      <c r="G38" s="222"/>
      <c r="H38" s="222"/>
      <c r="I38" s="222"/>
      <c r="J38" s="222"/>
      <c r="K38" s="222"/>
      <c r="L38" s="439"/>
      <c r="M38" s="439"/>
      <c r="N38" s="439"/>
      <c r="O38" s="439"/>
      <c r="P38" s="439"/>
      <c r="Q38" s="439"/>
      <c r="R38" s="439"/>
      <c r="S38" s="439"/>
      <c r="T38" s="441"/>
      <c r="U38" s="445"/>
      <c r="V38" s="230">
        <f t="shared" si="1"/>
        <v>0</v>
      </c>
      <c r="W38" s="220">
        <f>SUM(L37:T38)</f>
        <v>1</v>
      </c>
    </row>
    <row r="39" spans="1:23" ht="15" customHeight="1">
      <c r="A39" s="215"/>
      <c r="B39" s="223" t="s">
        <v>106</v>
      </c>
      <c r="C39" s="224">
        <v>0</v>
      </c>
      <c r="D39" s="225"/>
      <c r="E39" s="225"/>
      <c r="F39" s="225"/>
      <c r="G39" s="225"/>
      <c r="H39" s="225"/>
      <c r="I39" s="225"/>
      <c r="J39" s="225"/>
      <c r="K39" s="225"/>
      <c r="L39" s="438">
        <v>1</v>
      </c>
      <c r="M39" s="438"/>
      <c r="N39" s="438"/>
      <c r="O39" s="438"/>
      <c r="P39" s="438"/>
      <c r="Q39" s="438"/>
      <c r="R39" s="438"/>
      <c r="S39" s="438"/>
      <c r="T39" s="440"/>
      <c r="U39" s="444">
        <f>'Časový snímek'!C31</f>
        <v>0</v>
      </c>
      <c r="V39" s="219">
        <f t="shared" si="1"/>
        <v>0</v>
      </c>
      <c r="W39" s="220">
        <f>SUM(L39:T40)</f>
        <v>1</v>
      </c>
    </row>
    <row r="40" spans="1:23" ht="15" customHeight="1" thickBot="1">
      <c r="A40" s="215"/>
      <c r="B40" s="227" t="s">
        <v>107</v>
      </c>
      <c r="C40" s="228">
        <v>0</v>
      </c>
      <c r="D40" s="229"/>
      <c r="E40" s="229"/>
      <c r="F40" s="229"/>
      <c r="G40" s="229"/>
      <c r="H40" s="229"/>
      <c r="I40" s="229"/>
      <c r="J40" s="229"/>
      <c r="K40" s="229"/>
      <c r="L40" s="439"/>
      <c r="M40" s="439"/>
      <c r="N40" s="439"/>
      <c r="O40" s="439"/>
      <c r="P40" s="439"/>
      <c r="Q40" s="439"/>
      <c r="R40" s="439"/>
      <c r="S40" s="439"/>
      <c r="T40" s="441"/>
      <c r="U40" s="445"/>
      <c r="V40" s="219">
        <f t="shared" si="1"/>
        <v>0</v>
      </c>
      <c r="W40" s="220">
        <f>SUM(L39:T40)</f>
        <v>1</v>
      </c>
    </row>
    <row r="41" spans="1:23" ht="15" customHeight="1">
      <c r="A41" s="215"/>
      <c r="B41" s="216" t="s">
        <v>106</v>
      </c>
      <c r="C41" s="217">
        <v>0</v>
      </c>
      <c r="D41" s="218"/>
      <c r="E41" s="218"/>
      <c r="F41" s="218"/>
      <c r="G41" s="218"/>
      <c r="H41" s="218"/>
      <c r="I41" s="218"/>
      <c r="J41" s="218"/>
      <c r="K41" s="218"/>
      <c r="L41" s="442">
        <v>1</v>
      </c>
      <c r="M41" s="442"/>
      <c r="N41" s="442"/>
      <c r="O41" s="442"/>
      <c r="P41" s="442"/>
      <c r="Q41" s="442"/>
      <c r="R41" s="442"/>
      <c r="S41" s="442"/>
      <c r="T41" s="449"/>
      <c r="U41" s="444">
        <f>'Časový snímek'!C32</f>
        <v>0</v>
      </c>
      <c r="V41" s="226">
        <f t="shared" si="1"/>
        <v>0</v>
      </c>
      <c r="W41" s="220">
        <f>SUM(L41:T42)</f>
        <v>1</v>
      </c>
    </row>
    <row r="42" spans="1:23" ht="15" customHeight="1" thickBot="1">
      <c r="A42" s="215"/>
      <c r="B42" s="216" t="s">
        <v>107</v>
      </c>
      <c r="C42" s="221">
        <v>0</v>
      </c>
      <c r="D42" s="222"/>
      <c r="E42" s="222"/>
      <c r="F42" s="222"/>
      <c r="G42" s="222"/>
      <c r="H42" s="222"/>
      <c r="I42" s="222"/>
      <c r="J42" s="222"/>
      <c r="K42" s="222"/>
      <c r="L42" s="439"/>
      <c r="M42" s="439"/>
      <c r="N42" s="439"/>
      <c r="O42" s="439"/>
      <c r="P42" s="439"/>
      <c r="Q42" s="439"/>
      <c r="R42" s="439"/>
      <c r="S42" s="439"/>
      <c r="T42" s="441"/>
      <c r="U42" s="445"/>
      <c r="V42" s="230">
        <f t="shared" si="1"/>
        <v>0</v>
      </c>
      <c r="W42" s="220">
        <f>SUM(L41:T42)</f>
        <v>1</v>
      </c>
    </row>
    <row r="43" spans="1:23" ht="15" customHeight="1">
      <c r="A43" s="215"/>
      <c r="B43" s="223" t="s">
        <v>106</v>
      </c>
      <c r="C43" s="224">
        <v>0</v>
      </c>
      <c r="D43" s="225"/>
      <c r="E43" s="225"/>
      <c r="F43" s="225"/>
      <c r="G43" s="225"/>
      <c r="H43" s="225"/>
      <c r="I43" s="225"/>
      <c r="J43" s="225"/>
      <c r="K43" s="225"/>
      <c r="L43" s="438">
        <v>1</v>
      </c>
      <c r="M43" s="438"/>
      <c r="N43" s="438"/>
      <c r="O43" s="438"/>
      <c r="P43" s="438"/>
      <c r="Q43" s="438"/>
      <c r="R43" s="438"/>
      <c r="S43" s="438"/>
      <c r="T43" s="440"/>
      <c r="U43" s="444">
        <f>'Časový snímek'!C33</f>
        <v>0</v>
      </c>
      <c r="V43" s="219">
        <f t="shared" si="1"/>
        <v>0</v>
      </c>
      <c r="W43" s="220">
        <f>SUM(L43:T44)</f>
        <v>1</v>
      </c>
    </row>
    <row r="44" spans="1:23" ht="15.75" customHeight="1" thickBot="1">
      <c r="B44" s="227" t="s">
        <v>107</v>
      </c>
      <c r="C44" s="228">
        <v>0</v>
      </c>
      <c r="D44" s="229"/>
      <c r="E44" s="229"/>
      <c r="F44" s="229"/>
      <c r="G44" s="229"/>
      <c r="H44" s="229"/>
      <c r="I44" s="229"/>
      <c r="J44" s="229"/>
      <c r="K44" s="229"/>
      <c r="L44" s="439"/>
      <c r="M44" s="439"/>
      <c r="N44" s="439"/>
      <c r="O44" s="439"/>
      <c r="P44" s="439"/>
      <c r="Q44" s="439"/>
      <c r="R44" s="439"/>
      <c r="S44" s="439"/>
      <c r="T44" s="441"/>
      <c r="U44" s="445"/>
      <c r="V44" s="219">
        <f t="shared" si="1"/>
        <v>0</v>
      </c>
      <c r="W44" s="247">
        <f>SUM(L43:T44)</f>
        <v>1</v>
      </c>
    </row>
    <row r="45" spans="1:23" ht="15" customHeight="1">
      <c r="B45" s="216" t="s">
        <v>106</v>
      </c>
      <c r="C45" s="217">
        <v>0</v>
      </c>
      <c r="D45" s="218"/>
      <c r="E45" s="218"/>
      <c r="F45" s="218"/>
      <c r="G45" s="218"/>
      <c r="H45" s="218"/>
      <c r="I45" s="218"/>
      <c r="J45" s="218"/>
      <c r="K45" s="218"/>
      <c r="L45" s="442">
        <v>1</v>
      </c>
      <c r="M45" s="442"/>
      <c r="N45" s="442"/>
      <c r="O45" s="442"/>
      <c r="P45" s="442"/>
      <c r="Q45" s="442"/>
      <c r="R45" s="442"/>
      <c r="S45" s="442"/>
      <c r="T45" s="449"/>
      <c r="U45" s="444">
        <f>'Časový snímek'!C34</f>
        <v>0</v>
      </c>
      <c r="V45" s="226">
        <f t="shared" si="1"/>
        <v>0</v>
      </c>
      <c r="W45" s="247">
        <f>SUM(L45:T46)</f>
        <v>1</v>
      </c>
    </row>
    <row r="46" spans="1:23" ht="15.75" customHeight="1" thickBot="1">
      <c r="A46" s="250"/>
      <c r="B46" s="216" t="s">
        <v>107</v>
      </c>
      <c r="C46" s="221">
        <v>0</v>
      </c>
      <c r="D46" s="222"/>
      <c r="E46" s="222"/>
      <c r="F46" s="222"/>
      <c r="G46" s="222"/>
      <c r="H46" s="222"/>
      <c r="I46" s="222"/>
      <c r="J46" s="222"/>
      <c r="K46" s="222"/>
      <c r="L46" s="439"/>
      <c r="M46" s="439"/>
      <c r="N46" s="439"/>
      <c r="O46" s="439"/>
      <c r="P46" s="439"/>
      <c r="Q46" s="439"/>
      <c r="R46" s="439"/>
      <c r="S46" s="439"/>
      <c r="T46" s="441"/>
      <c r="U46" s="445"/>
      <c r="V46" s="230">
        <f t="shared" si="1"/>
        <v>0</v>
      </c>
      <c r="W46" s="247">
        <f>SUM(L45:T46)</f>
        <v>1</v>
      </c>
    </row>
    <row r="47" spans="1:23" ht="15" customHeight="1">
      <c r="B47" s="223" t="s">
        <v>106</v>
      </c>
      <c r="C47" s="224">
        <v>0</v>
      </c>
      <c r="D47" s="225">
        <v>0</v>
      </c>
      <c r="E47" s="225"/>
      <c r="F47" s="225"/>
      <c r="G47" s="225"/>
      <c r="H47" s="225"/>
      <c r="I47" s="225"/>
      <c r="J47" s="225"/>
      <c r="K47" s="225"/>
      <c r="L47" s="438">
        <v>1</v>
      </c>
      <c r="M47" s="438"/>
      <c r="N47" s="438"/>
      <c r="O47" s="438"/>
      <c r="P47" s="438"/>
      <c r="Q47" s="438"/>
      <c r="R47" s="438"/>
      <c r="S47" s="438"/>
      <c r="T47" s="440"/>
      <c r="U47" s="444">
        <f>'Časový snímek'!C35</f>
        <v>0</v>
      </c>
      <c r="V47" s="219">
        <f t="shared" si="1"/>
        <v>0</v>
      </c>
      <c r="W47" s="247">
        <f>SUM(L47:T48)</f>
        <v>1</v>
      </c>
    </row>
    <row r="48" spans="1:23" ht="15.75" customHeight="1" thickBot="1">
      <c r="B48" s="227" t="s">
        <v>107</v>
      </c>
      <c r="C48" s="228">
        <v>0</v>
      </c>
      <c r="D48" s="229">
        <v>0</v>
      </c>
      <c r="E48" s="229"/>
      <c r="F48" s="229"/>
      <c r="G48" s="229"/>
      <c r="H48" s="229"/>
      <c r="I48" s="229"/>
      <c r="J48" s="229"/>
      <c r="K48" s="229"/>
      <c r="L48" s="439"/>
      <c r="M48" s="439"/>
      <c r="N48" s="439"/>
      <c r="O48" s="439"/>
      <c r="P48" s="439"/>
      <c r="Q48" s="439"/>
      <c r="R48" s="439"/>
      <c r="S48" s="439"/>
      <c r="T48" s="441"/>
      <c r="U48" s="445"/>
      <c r="V48" s="219">
        <f t="shared" si="1"/>
        <v>0</v>
      </c>
      <c r="W48" s="247">
        <f>SUM(L47:T48)</f>
        <v>1</v>
      </c>
    </row>
    <row r="49" spans="22:22">
      <c r="V49" s="251"/>
    </row>
  </sheetData>
  <mergeCells count="207">
    <mergeCell ref="C28:K28"/>
    <mergeCell ref="N13:N14"/>
    <mergeCell ref="P13:P14"/>
    <mergeCell ref="N15:N16"/>
    <mergeCell ref="P15:P16"/>
    <mergeCell ref="R23:R24"/>
    <mergeCell ref="R15:R16"/>
    <mergeCell ref="T35:T36"/>
    <mergeCell ref="Q23:Q24"/>
    <mergeCell ref="L5:L6"/>
    <mergeCell ref="S23:S24"/>
    <mergeCell ref="L4:T4"/>
    <mergeCell ref="N5:N6"/>
    <mergeCell ref="P23:P24"/>
    <mergeCell ref="T21:T22"/>
    <mergeCell ref="U41:U42"/>
    <mergeCell ref="P7:P8"/>
    <mergeCell ref="L39:L40"/>
    <mergeCell ref="L45:L46"/>
    <mergeCell ref="N39:N40"/>
    <mergeCell ref="T41:T42"/>
    <mergeCell ref="U43:U44"/>
    <mergeCell ref="T11:T12"/>
    <mergeCell ref="M17:M18"/>
    <mergeCell ref="O17:O18"/>
    <mergeCell ref="T13:T14"/>
    <mergeCell ref="S33:S34"/>
    <mergeCell ref="Q17:Q18"/>
    <mergeCell ref="T7:T8"/>
    <mergeCell ref="U33:U34"/>
    <mergeCell ref="Q11:Q12"/>
    <mergeCell ref="L31:L32"/>
    <mergeCell ref="U29:U30"/>
    <mergeCell ref="R33:R34"/>
    <mergeCell ref="O19:O20"/>
    <mergeCell ref="T15:T16"/>
    <mergeCell ref="S35:S36"/>
    <mergeCell ref="U35:U36"/>
    <mergeCell ref="L33:L34"/>
    <mergeCell ref="M47:M48"/>
    <mergeCell ref="M9:M10"/>
    <mergeCell ref="O9:O10"/>
    <mergeCell ref="O39:O40"/>
    <mergeCell ref="C4:K4"/>
    <mergeCell ref="U15:U16"/>
    <mergeCell ref="R19:R20"/>
    <mergeCell ref="O5:O6"/>
    <mergeCell ref="Q5:Q6"/>
    <mergeCell ref="M39:M40"/>
    <mergeCell ref="P9:P10"/>
    <mergeCell ref="N41:N42"/>
    <mergeCell ref="S7:S8"/>
    <mergeCell ref="O45:O46"/>
    <mergeCell ref="P11:P12"/>
    <mergeCell ref="L43:L44"/>
    <mergeCell ref="Q39:Q40"/>
    <mergeCell ref="U7:U8"/>
    <mergeCell ref="N43:N44"/>
    <mergeCell ref="S39:S40"/>
    <mergeCell ref="T9:T10"/>
    <mergeCell ref="O29:O30"/>
    <mergeCell ref="M13:M14"/>
    <mergeCell ref="U47:U48"/>
    <mergeCell ref="P39:P40"/>
    <mergeCell ref="R17:R18"/>
    <mergeCell ref="O47:O48"/>
    <mergeCell ref="T17:T18"/>
    <mergeCell ref="S37:S38"/>
    <mergeCell ref="L29:L30"/>
    <mergeCell ref="U37:U38"/>
    <mergeCell ref="N29:N30"/>
    <mergeCell ref="M37:M38"/>
    <mergeCell ref="R45:R46"/>
    <mergeCell ref="O31:O32"/>
    <mergeCell ref="L35:L36"/>
    <mergeCell ref="Q31:Q32"/>
    <mergeCell ref="M21:M22"/>
    <mergeCell ref="P47:P48"/>
    <mergeCell ref="N31:N32"/>
    <mergeCell ref="R47:R48"/>
    <mergeCell ref="L21:L22"/>
    <mergeCell ref="M41:M42"/>
    <mergeCell ref="P37:P38"/>
    <mergeCell ref="M23:M24"/>
    <mergeCell ref="O23:O24"/>
    <mergeCell ref="T31:T32"/>
    <mergeCell ref="U19:U20"/>
    <mergeCell ref="M43:M44"/>
    <mergeCell ref="U9:U10"/>
    <mergeCell ref="Q41:Q42"/>
    <mergeCell ref="T37:T38"/>
    <mergeCell ref="S41:S42"/>
    <mergeCell ref="L7:L8"/>
    <mergeCell ref="N7:N8"/>
    <mergeCell ref="S31:S32"/>
    <mergeCell ref="M5:M6"/>
    <mergeCell ref="P41:P42"/>
    <mergeCell ref="S11:S12"/>
    <mergeCell ref="N19:N20"/>
    <mergeCell ref="S15:S16"/>
    <mergeCell ref="R35:R36"/>
    <mergeCell ref="P19:P20"/>
    <mergeCell ref="L9:L10"/>
    <mergeCell ref="U21:U22"/>
    <mergeCell ref="N9:N10"/>
    <mergeCell ref="L41:L42"/>
    <mergeCell ref="O11:O12"/>
    <mergeCell ref="T19:T20"/>
    <mergeCell ref="O7:O8"/>
    <mergeCell ref="L11:L12"/>
    <mergeCell ref="Q7:Q8"/>
    <mergeCell ref="T45:T46"/>
    <mergeCell ref="U11:U12"/>
    <mergeCell ref="Q43:Q44"/>
    <mergeCell ref="S43:S44"/>
    <mergeCell ref="O33:O34"/>
    <mergeCell ref="T29:T30"/>
    <mergeCell ref="Q33:Q34"/>
    <mergeCell ref="M11:M12"/>
    <mergeCell ref="R7:R8"/>
    <mergeCell ref="Q29:Q30"/>
    <mergeCell ref="U45:U46"/>
    <mergeCell ref="N33:N34"/>
    <mergeCell ref="O35:O36"/>
    <mergeCell ref="M15:M16"/>
    <mergeCell ref="Q35:Q36"/>
    <mergeCell ref="N17:N18"/>
    <mergeCell ref="S13:S14"/>
    <mergeCell ref="R21:R22"/>
    <mergeCell ref="P17:P18"/>
    <mergeCell ref="U13:U14"/>
    <mergeCell ref="Q19:Q20"/>
    <mergeCell ref="O21:O22"/>
    <mergeCell ref="Q15:Q16"/>
    <mergeCell ref="M45:M46"/>
    <mergeCell ref="N45:N46"/>
    <mergeCell ref="P45:P46"/>
    <mergeCell ref="R39:R40"/>
    <mergeCell ref="L13:L14"/>
    <mergeCell ref="T47:T48"/>
    <mergeCell ref="L47:L48"/>
    <mergeCell ref="N47:N48"/>
    <mergeCell ref="S17:S18"/>
    <mergeCell ref="U17:U18"/>
    <mergeCell ref="L37:L38"/>
    <mergeCell ref="L15:L16"/>
    <mergeCell ref="N37:N38"/>
    <mergeCell ref="O43:O44"/>
    <mergeCell ref="Q45:Q46"/>
    <mergeCell ref="S45:S46"/>
    <mergeCell ref="P43:P44"/>
    <mergeCell ref="R43:R44"/>
    <mergeCell ref="T43:T44"/>
    <mergeCell ref="M19:M20"/>
    <mergeCell ref="Q47:Q48"/>
    <mergeCell ref="T39:T40"/>
    <mergeCell ref="S47:S48"/>
    <mergeCell ref="L28:T28"/>
    <mergeCell ref="S21:S22"/>
    <mergeCell ref="O41:O42"/>
    <mergeCell ref="R37:R38"/>
    <mergeCell ref="L23:L24"/>
    <mergeCell ref="N23:N24"/>
    <mergeCell ref="N35:N36"/>
    <mergeCell ref="S5:S6"/>
    <mergeCell ref="U5:U6"/>
    <mergeCell ref="M33:M34"/>
    <mergeCell ref="R41:R42"/>
    <mergeCell ref="T23:T24"/>
    <mergeCell ref="B26:V26"/>
    <mergeCell ref="U39:U40"/>
    <mergeCell ref="O13:O14"/>
    <mergeCell ref="S29:S30"/>
    <mergeCell ref="L17:L18"/>
    <mergeCell ref="Q13:Q14"/>
    <mergeCell ref="P33:P34"/>
    <mergeCell ref="U23:U24"/>
    <mergeCell ref="N11:N12"/>
    <mergeCell ref="P5:P6"/>
    <mergeCell ref="R9:R10"/>
    <mergeCell ref="R5:R6"/>
    <mergeCell ref="M29:M30"/>
    <mergeCell ref="T33:T34"/>
    <mergeCell ref="O37:O38"/>
    <mergeCell ref="R29:R30"/>
    <mergeCell ref="O15:O16"/>
    <mergeCell ref="Q37:Q38"/>
    <mergeCell ref="L19:L20"/>
    <mergeCell ref="B1:V1"/>
    <mergeCell ref="P31:P32"/>
    <mergeCell ref="M35:M36"/>
    <mergeCell ref="S19:S20"/>
    <mergeCell ref="M31:M32"/>
    <mergeCell ref="Q9:Q10"/>
    <mergeCell ref="S9:S10"/>
    <mergeCell ref="R11:R12"/>
    <mergeCell ref="T5:T6"/>
    <mergeCell ref="P29:P30"/>
    <mergeCell ref="P35:P36"/>
    <mergeCell ref="U31:U32"/>
    <mergeCell ref="B2:V2"/>
    <mergeCell ref="R13:R14"/>
    <mergeCell ref="Q21:Q22"/>
    <mergeCell ref="R31:R32"/>
    <mergeCell ref="N21:N22"/>
    <mergeCell ref="P21:P22"/>
    <mergeCell ref="M7:M8"/>
  </mergeCells>
  <pageMargins left="0.24" right="0.17" top="0.19" bottom="0.25" header="0.18" footer="0.2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33">
    <tabColor theme="9" tint="-0.249977111117893"/>
  </sheetPr>
  <dimension ref="B6:J24"/>
  <sheetViews>
    <sheetView workbookViewId="0">
      <selection activeCell="B19" sqref="B19:B21"/>
    </sheetView>
  </sheetViews>
  <sheetFormatPr defaultRowHeight="13.2"/>
  <cols>
    <col min="2" max="2" width="16.44140625" customWidth="1"/>
    <col min="4" max="4" width="14.5546875" customWidth="1"/>
    <col min="5" max="5" width="9.88671875" customWidth="1"/>
    <col min="6" max="6" width="13" customWidth="1"/>
    <col min="7" max="7" width="10.88671875" customWidth="1"/>
    <col min="8" max="8" width="11.109375" customWidth="1"/>
    <col min="9" max="9" width="10.109375" customWidth="1"/>
  </cols>
  <sheetData>
    <row r="6" spans="2:9">
      <c r="B6" s="267" t="s">
        <v>112</v>
      </c>
    </row>
    <row r="8" spans="2:9" ht="13.5" customHeight="1" thickBot="1"/>
    <row r="9" spans="2:9" ht="18" customHeight="1" thickBot="1">
      <c r="B9" s="452" t="s">
        <v>113</v>
      </c>
      <c r="C9" s="413"/>
      <c r="D9" s="452" t="s">
        <v>114</v>
      </c>
      <c r="E9" s="411"/>
      <c r="F9" s="413"/>
      <c r="G9" s="452" t="s">
        <v>115</v>
      </c>
      <c r="H9" s="411"/>
      <c r="I9" s="413"/>
    </row>
    <row r="10" spans="2:9" ht="17.25" customHeight="1">
      <c r="B10" s="472">
        <f>'Časový snímek'!D5</f>
        <v>0</v>
      </c>
      <c r="C10" s="464"/>
      <c r="D10" s="462">
        <f>'Časový snímek'!D13</f>
        <v>0</v>
      </c>
      <c r="E10" s="463"/>
      <c r="F10" s="464"/>
      <c r="G10" s="468">
        <f>'Časový snímek'!D23</f>
        <v>0</v>
      </c>
      <c r="H10" s="463"/>
      <c r="I10" s="464"/>
    </row>
    <row r="11" spans="2:9" ht="19.5" customHeight="1" thickBot="1">
      <c r="B11" s="470">
        <f>'Časový snímek'!D5</f>
        <v>0</v>
      </c>
      <c r="C11" s="467"/>
      <c r="D11" s="465">
        <f>'Časový snímek'!K13</f>
        <v>0</v>
      </c>
      <c r="E11" s="466"/>
      <c r="F11" s="467"/>
      <c r="G11" s="471">
        <f>'Časový snímek'!K23</f>
        <v>0</v>
      </c>
      <c r="H11" s="466"/>
      <c r="I11" s="467"/>
    </row>
    <row r="17" spans="2:10" ht="13.8">
      <c r="B17" s="76" t="s">
        <v>116</v>
      </c>
    </row>
    <row r="18" spans="2:10" ht="13.5" customHeight="1" thickBot="1"/>
    <row r="19" spans="2:10" ht="13.2" customHeight="1">
      <c r="B19" s="473" t="s">
        <v>113</v>
      </c>
      <c r="C19" s="453" t="s">
        <v>117</v>
      </c>
      <c r="D19" s="457" t="s">
        <v>118</v>
      </c>
      <c r="E19" s="455" t="s">
        <v>119</v>
      </c>
      <c r="F19" s="461" t="s">
        <v>120</v>
      </c>
      <c r="G19" s="457" t="s">
        <v>121</v>
      </c>
      <c r="H19" s="460" t="s">
        <v>122</v>
      </c>
      <c r="I19" s="321"/>
      <c r="J19" s="322"/>
    </row>
    <row r="20" spans="2:10" ht="13.2" customHeight="1">
      <c r="B20" s="474"/>
      <c r="C20" s="454"/>
      <c r="D20" s="458"/>
      <c r="E20" s="456"/>
      <c r="F20" s="458"/>
      <c r="G20" s="458"/>
      <c r="H20" s="454"/>
      <c r="I20" s="321"/>
      <c r="J20" s="322"/>
    </row>
    <row r="21" spans="2:10" ht="13.5" customHeight="1" thickBot="1">
      <c r="B21" s="423"/>
      <c r="C21" s="420"/>
      <c r="D21" s="459"/>
      <c r="E21" s="437"/>
      <c r="F21" s="459"/>
      <c r="G21" s="459"/>
      <c r="H21" s="420"/>
      <c r="I21" s="317"/>
      <c r="J21" s="58"/>
    </row>
    <row r="22" spans="2:10" ht="15.75" customHeight="1">
      <c r="B22" s="265">
        <f>'Časový snímek'!D5</f>
        <v>0</v>
      </c>
      <c r="C22" s="89">
        <f>'Časový snímek'!D13</f>
        <v>0</v>
      </c>
      <c r="D22" s="105" t="str">
        <f>'Časový snímek'!D15</f>
        <v>pravostranná</v>
      </c>
      <c r="E22" s="90">
        <f>'Časový snímek'!D16</f>
        <v>100</v>
      </c>
      <c r="F22" s="91">
        <f>'Časový snímek'!D17</f>
        <v>10</v>
      </c>
      <c r="G22" s="90">
        <f>'Časový snímek'!D18</f>
        <v>115</v>
      </c>
      <c r="H22" s="318">
        <f>'Časový snímek'!D19</f>
        <v>110</v>
      </c>
      <c r="I22" s="93"/>
      <c r="J22" s="93"/>
    </row>
    <row r="23" spans="2:10" ht="17.25" customHeight="1" thickBot="1">
      <c r="B23" s="266">
        <f>B22</f>
        <v>0</v>
      </c>
      <c r="C23" s="106">
        <f>'Časový snímek'!K13</f>
        <v>0</v>
      </c>
      <c r="D23" s="92" t="str">
        <f>'Časový snímek'!K15</f>
        <v>pravostranná</v>
      </c>
      <c r="E23" s="93">
        <f>'Časový snímek'!K16</f>
        <v>35</v>
      </c>
      <c r="F23" s="94">
        <f>'Časový snímek'!K17</f>
        <v>3</v>
      </c>
      <c r="G23" s="93">
        <f>'Časový snímek'!K18</f>
        <v>150</v>
      </c>
      <c r="H23" s="316">
        <f>'Časový snímek'!K19</f>
        <v>100</v>
      </c>
      <c r="I23" s="319"/>
      <c r="J23" s="93"/>
    </row>
    <row r="24" spans="2:10" ht="13.5" customHeight="1" thickBot="1">
      <c r="B24" s="95">
        <f>'Časový snímek'!D29</f>
        <v>0</v>
      </c>
      <c r="C24" s="469" t="s">
        <v>123</v>
      </c>
      <c r="D24" s="413"/>
      <c r="E24" s="96">
        <f>ROUND(AVERAGE(E22:E23),0)</f>
        <v>68</v>
      </c>
      <c r="F24" s="97">
        <f>AVERAGE(F22:F23)</f>
        <v>6.5</v>
      </c>
      <c r="G24" s="98">
        <f>AVERAGE(G22:G23)</f>
        <v>132.5</v>
      </c>
      <c r="H24" s="320">
        <f>AVERAGE(H22:H23)</f>
        <v>105</v>
      </c>
      <c r="I24" s="131"/>
      <c r="J24" s="131"/>
    </row>
  </sheetData>
  <mergeCells count="17">
    <mergeCell ref="C24:D24"/>
    <mergeCell ref="B11:C11"/>
    <mergeCell ref="G11:I11"/>
    <mergeCell ref="B10:C10"/>
    <mergeCell ref="B19:B21"/>
    <mergeCell ref="G9:I9"/>
    <mergeCell ref="C19:C21"/>
    <mergeCell ref="E19:E21"/>
    <mergeCell ref="G19:G21"/>
    <mergeCell ref="D19:D21"/>
    <mergeCell ref="H19:H21"/>
    <mergeCell ref="F19:F21"/>
    <mergeCell ref="D9:F9"/>
    <mergeCell ref="B9:C9"/>
    <mergeCell ref="D10:F10"/>
    <mergeCell ref="D11:F11"/>
    <mergeCell ref="G10:I10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9" tint="0.39997558519241921"/>
  </sheetPr>
  <dimension ref="A1:AC74"/>
  <sheetViews>
    <sheetView workbookViewId="0">
      <selection activeCell="T24" sqref="T24"/>
    </sheetView>
  </sheetViews>
  <sheetFormatPr defaultColWidth="4.109375" defaultRowHeight="13.2"/>
  <sheetData>
    <row r="1" spans="1:29">
      <c r="A1" s="377" t="s">
        <v>124</v>
      </c>
      <c r="B1" s="369"/>
      <c r="C1" s="369"/>
      <c r="D1" s="369"/>
      <c r="E1" s="369"/>
      <c r="F1" s="369"/>
      <c r="G1" s="369"/>
      <c r="H1" s="369"/>
      <c r="I1" s="369"/>
      <c r="J1" s="371"/>
      <c r="K1" s="369"/>
      <c r="L1" s="369"/>
      <c r="M1" s="369"/>
      <c r="N1" s="372"/>
      <c r="P1" s="377" t="s">
        <v>125</v>
      </c>
      <c r="Q1" s="369"/>
      <c r="R1" s="369"/>
      <c r="S1" s="369"/>
      <c r="T1" s="369"/>
      <c r="U1" s="369"/>
      <c r="V1" s="369"/>
      <c r="W1" s="369"/>
      <c r="X1" s="369"/>
      <c r="Y1" s="371"/>
      <c r="Z1" s="369"/>
      <c r="AA1" s="369"/>
      <c r="AB1" s="369"/>
      <c r="AC1" s="372"/>
    </row>
    <row r="2" spans="1:29">
      <c r="A2" s="373"/>
      <c r="N2" s="374"/>
      <c r="P2" s="373"/>
      <c r="AC2" s="374"/>
    </row>
    <row r="3" spans="1:29">
      <c r="A3" s="373"/>
      <c r="N3" s="374"/>
      <c r="P3" s="373"/>
      <c r="AC3" s="374"/>
    </row>
    <row r="4" spans="1:29">
      <c r="A4" s="373"/>
      <c r="N4" s="374"/>
      <c r="P4" s="373"/>
      <c r="AC4" s="374"/>
    </row>
    <row r="5" spans="1:29">
      <c r="A5" s="373"/>
      <c r="N5" s="374"/>
      <c r="P5" s="373"/>
      <c r="AC5" s="374"/>
    </row>
    <row r="6" spans="1:29">
      <c r="A6" s="373"/>
      <c r="N6" s="374"/>
      <c r="P6" s="373"/>
      <c r="AC6" s="374"/>
    </row>
    <row r="7" spans="1:29">
      <c r="A7" s="373"/>
      <c r="N7" s="374"/>
      <c r="P7" s="373"/>
      <c r="AC7" s="374"/>
    </row>
    <row r="8" spans="1:29">
      <c r="A8" s="373"/>
      <c r="N8" s="374"/>
      <c r="P8" s="373"/>
      <c r="AC8" s="374"/>
    </row>
    <row r="9" spans="1:29">
      <c r="A9" s="373"/>
      <c r="N9" s="374"/>
      <c r="P9" s="373"/>
      <c r="AC9" s="374"/>
    </row>
    <row r="10" spans="1:29">
      <c r="A10" s="373"/>
      <c r="N10" s="374"/>
      <c r="P10" s="373"/>
      <c r="AC10" s="374"/>
    </row>
    <row r="11" spans="1:29">
      <c r="A11" s="373"/>
      <c r="N11" s="374"/>
      <c r="P11" s="373"/>
      <c r="X11">
        <v>5</v>
      </c>
      <c r="AC11" s="374"/>
    </row>
    <row r="12" spans="1:29">
      <c r="A12" s="373"/>
      <c r="N12" s="374"/>
      <c r="P12" s="373"/>
      <c r="S12">
        <v>4</v>
      </c>
      <c r="AC12" s="374"/>
    </row>
    <row r="13" spans="1:29">
      <c r="A13" s="373"/>
      <c r="N13" s="374"/>
      <c r="P13" s="373"/>
      <c r="AC13" s="374"/>
    </row>
    <row r="14" spans="1:29">
      <c r="A14" s="373"/>
      <c r="N14" s="374"/>
      <c r="P14" s="373"/>
      <c r="T14">
        <v>5</v>
      </c>
      <c r="V14">
        <v>63</v>
      </c>
      <c r="AC14" s="374"/>
    </row>
    <row r="15" spans="1:29">
      <c r="A15" s="373"/>
      <c r="N15" s="374"/>
      <c r="P15" s="373"/>
      <c r="T15">
        <v>6</v>
      </c>
      <c r="W15">
        <v>2</v>
      </c>
      <c r="Y15">
        <v>5</v>
      </c>
      <c r="AC15" s="374"/>
    </row>
    <row r="16" spans="1:29">
      <c r="A16" s="373"/>
      <c r="N16" s="374"/>
      <c r="P16" s="373"/>
      <c r="S16">
        <v>4</v>
      </c>
      <c r="U16">
        <v>3</v>
      </c>
      <c r="W16">
        <v>2</v>
      </c>
      <c r="X16">
        <v>1</v>
      </c>
      <c r="Y16">
        <v>3</v>
      </c>
      <c r="AC16" s="374"/>
    </row>
    <row r="17" spans="1:29">
      <c r="A17" s="373"/>
      <c r="N17" s="374"/>
      <c r="P17" s="373"/>
      <c r="T17">
        <v>7</v>
      </c>
      <c r="U17">
        <v>32</v>
      </c>
      <c r="V17">
        <v>3</v>
      </c>
      <c r="W17">
        <v>3</v>
      </c>
      <c r="X17">
        <v>55</v>
      </c>
      <c r="Y17">
        <v>2</v>
      </c>
      <c r="AC17" s="374"/>
    </row>
    <row r="18" spans="1:29">
      <c r="A18" s="373"/>
      <c r="N18" s="374"/>
      <c r="P18" s="373">
        <v>1</v>
      </c>
      <c r="Q18">
        <v>2</v>
      </c>
      <c r="R18">
        <v>2</v>
      </c>
      <c r="S18">
        <v>3</v>
      </c>
      <c r="T18" t="s">
        <v>249</v>
      </c>
      <c r="U18">
        <v>2</v>
      </c>
      <c r="V18">
        <v>2</v>
      </c>
      <c r="W18">
        <v>1</v>
      </c>
      <c r="X18">
        <v>1</v>
      </c>
      <c r="Y18">
        <v>1</v>
      </c>
      <c r="AC18" s="374"/>
    </row>
    <row r="19" spans="1:29">
      <c r="A19" s="373"/>
      <c r="N19" s="374"/>
      <c r="P19" s="373"/>
      <c r="S19">
        <v>2</v>
      </c>
      <c r="W19">
        <v>2</v>
      </c>
      <c r="X19">
        <v>2</v>
      </c>
      <c r="AC19" s="374"/>
    </row>
    <row r="20" spans="1:29">
      <c r="A20" s="373"/>
      <c r="N20" s="374"/>
      <c r="P20" s="373"/>
      <c r="AC20" s="374"/>
    </row>
    <row r="21" spans="1:29">
      <c r="A21" s="373"/>
      <c r="N21" s="374"/>
      <c r="P21" s="373"/>
      <c r="U21">
        <v>3</v>
      </c>
      <c r="W21">
        <v>4</v>
      </c>
      <c r="AC21" s="374"/>
    </row>
    <row r="22" spans="1:29">
      <c r="A22" s="373"/>
      <c r="N22" s="374"/>
      <c r="P22" s="373"/>
      <c r="AC22" s="374"/>
    </row>
    <row r="23" spans="1:29">
      <c r="A23" s="373"/>
      <c r="N23" s="374"/>
      <c r="P23" s="373"/>
      <c r="AC23" s="374"/>
    </row>
    <row r="24" spans="1:29" ht="13.5" customHeight="1" thickBot="1">
      <c r="A24" s="375"/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6"/>
      <c r="P24" s="375"/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6"/>
    </row>
    <row r="25" spans="1:29" ht="13.5" customHeight="1" thickBot="1"/>
    <row r="26" spans="1:29">
      <c r="A26" s="377" t="s">
        <v>126</v>
      </c>
      <c r="B26" s="369"/>
      <c r="C26" s="369"/>
      <c r="D26" s="369"/>
      <c r="E26" s="369"/>
      <c r="F26" s="369"/>
      <c r="G26" s="369"/>
      <c r="H26" s="369"/>
      <c r="I26" s="369"/>
      <c r="J26" s="371"/>
      <c r="K26" s="369"/>
      <c r="L26" s="369"/>
      <c r="M26" s="369"/>
      <c r="N26" s="372"/>
      <c r="P26" s="377" t="s">
        <v>127</v>
      </c>
      <c r="Q26" s="369"/>
      <c r="R26" s="369"/>
      <c r="S26" s="369"/>
      <c r="T26" s="369"/>
      <c r="U26" s="369"/>
      <c r="V26" s="369"/>
      <c r="W26" s="369"/>
      <c r="X26" s="369"/>
      <c r="Y26" s="371"/>
      <c r="Z26" s="369"/>
      <c r="AA26" s="369"/>
      <c r="AB26" s="369"/>
      <c r="AC26" s="372"/>
    </row>
    <row r="27" spans="1:29">
      <c r="A27" s="373"/>
      <c r="N27" s="374"/>
      <c r="P27" s="373"/>
      <c r="AC27" s="374"/>
    </row>
    <row r="28" spans="1:29">
      <c r="A28" s="373"/>
      <c r="N28" s="374"/>
      <c r="P28" s="373"/>
      <c r="AC28" s="374"/>
    </row>
    <row r="29" spans="1:29">
      <c r="A29" s="373"/>
      <c r="N29" s="374"/>
      <c r="P29" s="373"/>
      <c r="AC29" s="374"/>
    </row>
    <row r="30" spans="1:29">
      <c r="A30" s="373"/>
      <c r="N30" s="374"/>
      <c r="P30" s="373"/>
      <c r="AC30" s="374"/>
    </row>
    <row r="31" spans="1:29">
      <c r="A31" s="373"/>
      <c r="N31" s="374"/>
      <c r="P31" s="373"/>
      <c r="AC31" s="374"/>
    </row>
    <row r="32" spans="1:29">
      <c r="A32" s="373"/>
      <c r="N32" s="374"/>
      <c r="P32" s="373"/>
      <c r="AC32" s="374"/>
    </row>
    <row r="33" spans="1:29">
      <c r="A33" s="373"/>
      <c r="N33" s="374"/>
      <c r="P33" s="373"/>
      <c r="AC33" s="374"/>
    </row>
    <row r="34" spans="1:29">
      <c r="A34" s="373"/>
      <c r="N34" s="374"/>
      <c r="P34" s="373"/>
      <c r="AC34" s="374"/>
    </row>
    <row r="35" spans="1:29">
      <c r="A35" s="373"/>
      <c r="N35" s="374"/>
      <c r="P35" s="373"/>
      <c r="AC35" s="374"/>
    </row>
    <row r="36" spans="1:29">
      <c r="A36" s="373"/>
      <c r="N36" s="374"/>
      <c r="P36" s="373"/>
      <c r="AC36" s="374"/>
    </row>
    <row r="37" spans="1:29">
      <c r="A37" s="373"/>
      <c r="N37" s="374"/>
      <c r="P37" s="373"/>
      <c r="AC37" s="374"/>
    </row>
    <row r="38" spans="1:29">
      <c r="A38" s="373"/>
      <c r="N38" s="374"/>
      <c r="P38" s="373"/>
      <c r="AC38" s="374"/>
    </row>
    <row r="39" spans="1:29">
      <c r="A39" s="373"/>
      <c r="N39" s="374"/>
      <c r="P39" s="373"/>
      <c r="AC39" s="374"/>
    </row>
    <row r="40" spans="1:29">
      <c r="A40" s="373"/>
      <c r="N40" s="374"/>
      <c r="P40" s="373"/>
      <c r="AC40" s="374"/>
    </row>
    <row r="41" spans="1:29">
      <c r="A41" s="373"/>
      <c r="N41" s="374"/>
      <c r="P41" s="373"/>
      <c r="AC41" s="374"/>
    </row>
    <row r="42" spans="1:29">
      <c r="A42" s="373"/>
      <c r="N42" s="374"/>
      <c r="P42" s="373"/>
      <c r="AC42" s="374"/>
    </row>
    <row r="43" spans="1:29">
      <c r="A43" s="373"/>
      <c r="N43" s="374"/>
      <c r="P43" s="373"/>
      <c r="AC43" s="374"/>
    </row>
    <row r="44" spans="1:29">
      <c r="A44" s="373"/>
      <c r="N44" s="374"/>
      <c r="P44" s="373"/>
      <c r="AC44" s="374"/>
    </row>
    <row r="45" spans="1:29">
      <c r="A45" s="373"/>
      <c r="N45" s="374"/>
      <c r="P45" s="373"/>
      <c r="AC45" s="374"/>
    </row>
    <row r="46" spans="1:29">
      <c r="A46" s="373"/>
      <c r="N46" s="374"/>
      <c r="P46" s="373"/>
      <c r="AC46" s="374"/>
    </row>
    <row r="47" spans="1:29">
      <c r="A47" s="373"/>
      <c r="N47" s="374"/>
      <c r="P47" s="373"/>
      <c r="AC47" s="374"/>
    </row>
    <row r="48" spans="1:29">
      <c r="A48" s="373"/>
      <c r="N48" s="374"/>
      <c r="P48" s="373"/>
      <c r="AC48" s="374"/>
    </row>
    <row r="49" spans="1:29" ht="13.5" customHeight="1" thickBot="1">
      <c r="A49" s="375"/>
      <c r="B49" s="370"/>
      <c r="C49" s="370"/>
      <c r="D49" s="370"/>
      <c r="E49" s="370"/>
      <c r="F49" s="370"/>
      <c r="G49" s="370"/>
      <c r="H49" s="370"/>
      <c r="I49" s="370"/>
      <c r="J49" s="370"/>
      <c r="K49" s="370"/>
      <c r="L49" s="370"/>
      <c r="M49" s="370"/>
      <c r="N49" s="376"/>
      <c r="P49" s="375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6"/>
    </row>
    <row r="50" spans="1:29" ht="13.5" customHeight="1" thickBot="1"/>
    <row r="51" spans="1:29">
      <c r="A51" s="377" t="s">
        <v>128</v>
      </c>
      <c r="B51" s="369"/>
      <c r="C51" s="369"/>
      <c r="D51" s="369"/>
      <c r="E51" s="369"/>
      <c r="F51" s="369"/>
      <c r="G51" s="369"/>
      <c r="H51" s="369"/>
      <c r="I51" s="369"/>
      <c r="J51" s="371"/>
      <c r="K51" s="369"/>
      <c r="L51" s="369"/>
      <c r="M51" s="369"/>
      <c r="N51" s="372"/>
      <c r="P51" s="377" t="s">
        <v>129</v>
      </c>
      <c r="Q51" s="369"/>
      <c r="R51" s="369"/>
      <c r="S51" s="369"/>
      <c r="T51" s="369"/>
      <c r="U51" s="369"/>
      <c r="V51" s="369"/>
      <c r="W51" s="369"/>
      <c r="X51" s="369"/>
      <c r="Y51" s="371"/>
      <c r="Z51" s="369"/>
      <c r="AA51" s="369"/>
      <c r="AB51" s="369"/>
      <c r="AC51" s="372"/>
    </row>
    <row r="52" spans="1:29">
      <c r="A52" s="373"/>
      <c r="N52" s="374"/>
      <c r="P52" s="373"/>
      <c r="AC52" s="374"/>
    </row>
    <row r="53" spans="1:29">
      <c r="A53" s="373"/>
      <c r="N53" s="374"/>
      <c r="P53" s="373"/>
      <c r="AC53" s="374"/>
    </row>
    <row r="54" spans="1:29">
      <c r="A54" s="373"/>
      <c r="N54" s="374"/>
      <c r="P54" s="373"/>
      <c r="AC54" s="374"/>
    </row>
    <row r="55" spans="1:29">
      <c r="A55" s="373"/>
      <c r="N55" s="374"/>
      <c r="P55" s="373"/>
      <c r="AC55" s="374"/>
    </row>
    <row r="56" spans="1:29">
      <c r="A56" s="373"/>
      <c r="N56" s="374"/>
      <c r="P56" s="373"/>
      <c r="AC56" s="374"/>
    </row>
    <row r="57" spans="1:29">
      <c r="A57" s="373"/>
      <c r="N57" s="374"/>
      <c r="P57" s="373"/>
      <c r="AC57" s="374"/>
    </row>
    <row r="58" spans="1:29">
      <c r="A58" s="373"/>
      <c r="N58" s="374"/>
      <c r="P58" s="373"/>
      <c r="AC58" s="374"/>
    </row>
    <row r="59" spans="1:29">
      <c r="A59" s="373"/>
      <c r="N59" s="374"/>
      <c r="P59" s="373"/>
      <c r="AC59" s="374"/>
    </row>
    <row r="60" spans="1:29">
      <c r="A60" s="373"/>
      <c r="N60" s="374"/>
      <c r="P60" s="373"/>
      <c r="AC60" s="374"/>
    </row>
    <row r="61" spans="1:29">
      <c r="A61" s="373"/>
      <c r="N61" s="374"/>
      <c r="P61" s="373"/>
      <c r="AC61" s="374"/>
    </row>
    <row r="62" spans="1:29">
      <c r="A62" s="373"/>
      <c r="N62" s="374"/>
      <c r="P62" s="373"/>
      <c r="AC62" s="374"/>
    </row>
    <row r="63" spans="1:29">
      <c r="A63" s="373"/>
      <c r="N63" s="374"/>
      <c r="P63" s="373"/>
      <c r="AC63" s="374"/>
    </row>
    <row r="64" spans="1:29">
      <c r="A64" s="373"/>
      <c r="N64" s="374"/>
      <c r="P64" s="373"/>
      <c r="AC64" s="374"/>
    </row>
    <row r="65" spans="1:29">
      <c r="A65" s="373"/>
      <c r="N65" s="374"/>
      <c r="P65" s="373"/>
      <c r="AC65" s="374"/>
    </row>
    <row r="66" spans="1:29">
      <c r="A66" s="373"/>
      <c r="N66" s="374"/>
      <c r="P66" s="373"/>
      <c r="AC66" s="374"/>
    </row>
    <row r="67" spans="1:29">
      <c r="A67" s="373"/>
      <c r="N67" s="374"/>
      <c r="P67" s="373"/>
      <c r="AC67" s="374"/>
    </row>
    <row r="68" spans="1:29">
      <c r="A68" s="373"/>
      <c r="N68" s="374"/>
      <c r="P68" s="373"/>
      <c r="AC68" s="374"/>
    </row>
    <row r="69" spans="1:29">
      <c r="A69" s="373"/>
      <c r="N69" s="374"/>
      <c r="P69" s="373"/>
      <c r="AC69" s="374"/>
    </row>
    <row r="70" spans="1:29">
      <c r="A70" s="373"/>
      <c r="N70" s="374"/>
      <c r="P70" s="373"/>
      <c r="AC70" s="374"/>
    </row>
    <row r="71" spans="1:29">
      <c r="A71" s="373"/>
      <c r="N71" s="374"/>
      <c r="P71" s="373"/>
      <c r="AC71" s="374"/>
    </row>
    <row r="72" spans="1:29">
      <c r="A72" s="373"/>
      <c r="N72" s="374"/>
      <c r="P72" s="373"/>
      <c r="AC72" s="374"/>
    </row>
    <row r="73" spans="1:29">
      <c r="A73" s="373"/>
      <c r="N73" s="374"/>
      <c r="P73" s="373"/>
      <c r="AC73" s="374"/>
    </row>
    <row r="74" spans="1:29" ht="13.5" customHeight="1" thickBot="1">
      <c r="A74" s="375"/>
      <c r="B74" s="370"/>
      <c r="C74" s="370"/>
      <c r="D74" s="370"/>
      <c r="E74" s="370"/>
      <c r="F74" s="370"/>
      <c r="G74" s="370"/>
      <c r="H74" s="370"/>
      <c r="I74" s="370"/>
      <c r="J74" s="370"/>
      <c r="K74" s="370"/>
      <c r="L74" s="370"/>
      <c r="M74" s="370"/>
      <c r="N74" s="376"/>
      <c r="P74" s="375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6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3">
    <tabColor theme="9" tint="0.39997558519241921"/>
  </sheetPr>
  <dimension ref="B1:AC112"/>
  <sheetViews>
    <sheetView topLeftCell="A41" zoomScale="70" zoomScaleNormal="70" workbookViewId="0">
      <selection activeCell="H19" sqref="H19"/>
    </sheetView>
  </sheetViews>
  <sheetFormatPr defaultColWidth="8.88671875" defaultRowHeight="13.8"/>
  <cols>
    <col min="1" max="1" width="2.44140625" style="48" customWidth="1"/>
    <col min="2" max="2" width="4" style="48" customWidth="1"/>
    <col min="3" max="3" width="36.44140625" style="48" customWidth="1"/>
    <col min="4" max="4" width="11.5546875" style="48" customWidth="1"/>
    <col min="5" max="6" width="12.44140625" style="48" customWidth="1"/>
    <col min="7" max="7" width="12.88671875" style="48" customWidth="1"/>
    <col min="8" max="8" width="12.5546875" style="48" customWidth="1"/>
    <col min="9" max="9" width="12.88671875" style="48" customWidth="1"/>
    <col min="10" max="10" width="6.44140625" style="48" hidden="1" customWidth="1"/>
    <col min="11" max="11" width="4.44140625" style="48" hidden="1" customWidth="1"/>
    <col min="12" max="12" width="5.6640625" style="48" hidden="1" customWidth="1"/>
    <col min="13" max="13" width="13.5546875" style="48" customWidth="1"/>
    <col min="14" max="14" width="14.5546875" style="48" customWidth="1"/>
    <col min="15" max="15" width="14" style="48" customWidth="1"/>
    <col min="16" max="16" width="7.33203125" style="48" customWidth="1"/>
    <col min="17" max="17" width="15.44140625" style="48" customWidth="1"/>
    <col min="18" max="18" width="10.6640625" style="48" customWidth="1"/>
    <col min="19" max="19" width="12" style="48" customWidth="1"/>
    <col min="20" max="20" width="13" style="48" customWidth="1"/>
    <col min="21" max="21" width="12.6640625" style="48" customWidth="1"/>
    <col min="22" max="22" width="1.88671875" style="48" customWidth="1"/>
    <col min="23" max="23" width="8.88671875" style="48" customWidth="1"/>
    <col min="24" max="24" width="9.6640625" style="48" customWidth="1"/>
    <col min="25" max="25" width="8.88671875" style="48" customWidth="1"/>
    <col min="26" max="26" width="8.33203125" style="48" customWidth="1"/>
    <col min="27" max="27" width="8.88671875" style="48" customWidth="1"/>
    <col min="28" max="16384" width="8.88671875" style="48"/>
  </cols>
  <sheetData>
    <row r="1" spans="2:17" ht="48.75" customHeight="1">
      <c r="C1" s="481"/>
      <c r="D1" s="407"/>
      <c r="E1" s="407"/>
      <c r="F1" s="407"/>
      <c r="G1" s="407"/>
    </row>
    <row r="2" spans="2:17" ht="2.25" customHeight="1" thickBot="1"/>
    <row r="3" spans="2:17" ht="21.75" customHeight="1" thickBot="1">
      <c r="B3" s="475" t="s">
        <v>130</v>
      </c>
      <c r="C3" s="411"/>
      <c r="D3" s="411"/>
      <c r="E3" s="411"/>
      <c r="F3" s="411"/>
      <c r="G3" s="411"/>
      <c r="H3" s="403"/>
    </row>
    <row r="4" spans="2:17" ht="2.25" customHeight="1" thickBot="1">
      <c r="C4" s="168"/>
    </row>
    <row r="5" spans="2:17" ht="13.5" hidden="1" customHeight="1" thickBot="1">
      <c r="C5" s="168" t="s">
        <v>1</v>
      </c>
      <c r="D5" s="48">
        <f>'Časový snímek'!D3</f>
        <v>0</v>
      </c>
    </row>
    <row r="6" spans="2:17" ht="13.5" hidden="1" customHeight="1" thickBot="1">
      <c r="C6" s="168" t="s">
        <v>2</v>
      </c>
      <c r="D6" s="48">
        <f>'Časový snímek'!D4</f>
        <v>0</v>
      </c>
    </row>
    <row r="7" spans="2:17" ht="13.5" hidden="1" customHeight="1" thickBot="1">
      <c r="C7" s="168" t="s">
        <v>20</v>
      </c>
      <c r="D7" s="48" t="str">
        <f>'Časový snímek'!D12</f>
        <v>daisdijakl</v>
      </c>
    </row>
    <row r="8" spans="2:17" ht="3.75" hidden="1" customHeight="1"/>
    <row r="9" spans="2:17" ht="3.9" hidden="1" customHeight="1"/>
    <row r="10" spans="2:17" ht="3.9" hidden="1" customHeight="1"/>
    <row r="11" spans="2:17" ht="3.75" hidden="1" customHeight="1"/>
    <row r="12" spans="2:17" ht="3.75" hidden="1" customHeight="1" thickBot="1">
      <c r="D12" s="102"/>
      <c r="K12" s="102"/>
    </row>
    <row r="13" spans="2:17" ht="17.25" hidden="1" customHeight="1" thickBot="1">
      <c r="D13" s="102"/>
      <c r="J13" s="488"/>
      <c r="K13" s="407"/>
      <c r="L13" s="407"/>
      <c r="M13" s="407"/>
    </row>
    <row r="14" spans="2:17" ht="18.75" customHeight="1">
      <c r="B14" s="169"/>
      <c r="C14" s="170"/>
      <c r="D14" s="171"/>
      <c r="E14" s="515" t="s">
        <v>131</v>
      </c>
      <c r="F14" s="463"/>
      <c r="G14" s="463"/>
      <c r="H14" s="464"/>
      <c r="J14" s="172"/>
      <c r="K14" s="173"/>
      <c r="L14" s="172"/>
      <c r="M14" s="172"/>
      <c r="N14" s="174"/>
      <c r="O14" s="174"/>
    </row>
    <row r="15" spans="2:17" ht="46.5" customHeight="1" thickBot="1">
      <c r="B15" s="175"/>
      <c r="C15" s="176" t="s">
        <v>132</v>
      </c>
      <c r="D15" s="177" t="s">
        <v>133</v>
      </c>
      <c r="E15" s="178" t="s">
        <v>134</v>
      </c>
      <c r="F15" s="179" t="s">
        <v>135</v>
      </c>
      <c r="G15" s="179" t="s">
        <v>136</v>
      </c>
      <c r="H15" s="180" t="s">
        <v>137</v>
      </c>
      <c r="J15" s="181"/>
      <c r="K15" s="182"/>
      <c r="L15" s="181"/>
      <c r="M15" s="181"/>
      <c r="N15" s="174"/>
      <c r="O15" s="174"/>
    </row>
    <row r="16" spans="2:17">
      <c r="B16" s="175" t="s">
        <v>62</v>
      </c>
      <c r="C16" s="195" t="str">
        <f>'Časový snímek'!C26</f>
        <v>Zakládání</v>
      </c>
      <c r="D16" s="183">
        <f>'Časový snímek'!F26</f>
        <v>415</v>
      </c>
      <c r="E16" s="184">
        <v>10</v>
      </c>
      <c r="F16" s="185">
        <v>6</v>
      </c>
      <c r="G16" s="185">
        <v>7</v>
      </c>
      <c r="H16" s="186">
        <v>1</v>
      </c>
      <c r="J16" s="187">
        <f t="shared" ref="J16:J25" si="0">D16/$D$27*E16</f>
        <v>8.6458333333333339</v>
      </c>
      <c r="K16" s="188">
        <f t="shared" ref="K16:K25" si="1">D16/$D$27*F16</f>
        <v>5.1875</v>
      </c>
      <c r="L16" s="187">
        <f t="shared" ref="L16:L25" si="2">D16/$D$27*G16</f>
        <v>6.0520833333333339</v>
      </c>
      <c r="M16" s="187">
        <f t="shared" ref="M16:M25" si="3">D16/$D$27*H16</f>
        <v>0.86458333333333337</v>
      </c>
      <c r="N16" s="189">
        <f>'Vložení sil'!H2</f>
        <v>0</v>
      </c>
      <c r="O16" s="190">
        <f>'Vložení sil'!I2</f>
        <v>0</v>
      </c>
      <c r="P16" s="190">
        <f>'Vložení sil'!J2</f>
        <v>0</v>
      </c>
      <c r="Q16" s="191">
        <f>'Vložení sil'!K2</f>
        <v>0</v>
      </c>
    </row>
    <row r="17" spans="2:26">
      <c r="B17" s="175" t="s">
        <v>64</v>
      </c>
      <c r="C17" s="195" t="str">
        <f>'Časový snímek'!C27</f>
        <v>Bezpečnostní přestávka</v>
      </c>
      <c r="D17" s="183">
        <f>'Časový snímek'!F27</f>
        <v>35</v>
      </c>
      <c r="E17" s="184">
        <v>5</v>
      </c>
      <c r="F17" s="185">
        <v>6</v>
      </c>
      <c r="G17" s="185">
        <v>8</v>
      </c>
      <c r="H17" s="186">
        <v>2</v>
      </c>
      <c r="J17" s="187">
        <f t="shared" si="0"/>
        <v>0.36458333333333337</v>
      </c>
      <c r="K17" s="188">
        <f t="shared" si="1"/>
        <v>0.4375</v>
      </c>
      <c r="L17" s="187">
        <f t="shared" si="2"/>
        <v>0.58333333333333337</v>
      </c>
      <c r="M17" s="187">
        <f t="shared" si="3"/>
        <v>0.14583333333333334</v>
      </c>
      <c r="N17" s="192">
        <f>'Vložení sil'!H3</f>
        <v>0</v>
      </c>
      <c r="O17" s="193">
        <f>'Vložení sil'!I3</f>
        <v>0</v>
      </c>
      <c r="P17" s="193">
        <f>'Vložení sil'!J3</f>
        <v>0</v>
      </c>
      <c r="Q17" s="194">
        <f>'Vložení sil'!K3</f>
        <v>0</v>
      </c>
    </row>
    <row r="18" spans="2:26">
      <c r="B18" s="175" t="s">
        <v>66</v>
      </c>
      <c r="C18" s="195" t="str">
        <f>'Časový snímek'!C28</f>
        <v>Přestávka na jídlo a oddech</v>
      </c>
      <c r="D18" s="183">
        <f>'Časový snímek'!F28</f>
        <v>30</v>
      </c>
      <c r="E18" s="184">
        <v>5</v>
      </c>
      <c r="F18" s="185">
        <v>6</v>
      </c>
      <c r="G18" s="185">
        <v>9</v>
      </c>
      <c r="H18" s="186">
        <v>3</v>
      </c>
      <c r="J18" s="187">
        <f t="shared" si="0"/>
        <v>0.3125</v>
      </c>
      <c r="K18" s="188">
        <f t="shared" si="1"/>
        <v>0.375</v>
      </c>
      <c r="L18" s="187">
        <f t="shared" si="2"/>
        <v>0.5625</v>
      </c>
      <c r="M18" s="187">
        <f t="shared" si="3"/>
        <v>0.1875</v>
      </c>
      <c r="N18" s="192">
        <f>'Vložení sil'!H4</f>
        <v>0</v>
      </c>
      <c r="O18" s="193">
        <f>'Vložení sil'!I4</f>
        <v>0</v>
      </c>
      <c r="P18" s="193">
        <f>'Vložení sil'!J4</f>
        <v>0</v>
      </c>
      <c r="Q18" s="194">
        <f>'Vložení sil'!K4</f>
        <v>0</v>
      </c>
    </row>
    <row r="19" spans="2:26">
      <c r="B19" s="175" t="s">
        <v>68</v>
      </c>
      <c r="C19" s="195">
        <f>'Časový snímek'!C29</f>
        <v>0</v>
      </c>
      <c r="D19" s="183">
        <f>'Časový snímek'!F29</f>
        <v>0</v>
      </c>
      <c r="E19" s="184">
        <v>0</v>
      </c>
      <c r="F19" s="185">
        <v>0</v>
      </c>
      <c r="G19" s="185">
        <v>0</v>
      </c>
      <c r="H19" s="186">
        <v>0</v>
      </c>
      <c r="J19" s="187">
        <f t="shared" si="0"/>
        <v>0</v>
      </c>
      <c r="K19" s="188">
        <f t="shared" si="1"/>
        <v>0</v>
      </c>
      <c r="L19" s="187">
        <f t="shared" si="2"/>
        <v>0</v>
      </c>
      <c r="M19" s="187">
        <f t="shared" si="3"/>
        <v>0</v>
      </c>
      <c r="N19" s="192">
        <f>'Vložení sil'!H5</f>
        <v>0</v>
      </c>
      <c r="O19" s="193">
        <f>'Vložení sil'!I5</f>
        <v>0</v>
      </c>
      <c r="P19" s="193">
        <f>'Vložení sil'!J5</f>
        <v>0</v>
      </c>
      <c r="Q19" s="194">
        <f>'Vložení sil'!K5</f>
        <v>0</v>
      </c>
    </row>
    <row r="20" spans="2:26">
      <c r="B20" s="175" t="s">
        <v>69</v>
      </c>
      <c r="C20" s="195">
        <f>'Časový snímek'!C30</f>
        <v>0</v>
      </c>
      <c r="D20" s="183">
        <f>'Časový snímek'!F30</f>
        <v>0</v>
      </c>
      <c r="E20" s="184">
        <v>0</v>
      </c>
      <c r="F20" s="185">
        <v>0</v>
      </c>
      <c r="G20" s="185">
        <v>0</v>
      </c>
      <c r="H20" s="186">
        <v>0</v>
      </c>
      <c r="J20" s="187">
        <f t="shared" si="0"/>
        <v>0</v>
      </c>
      <c r="K20" s="188">
        <f t="shared" si="1"/>
        <v>0</v>
      </c>
      <c r="L20" s="187">
        <f t="shared" si="2"/>
        <v>0</v>
      </c>
      <c r="M20" s="187">
        <f t="shared" si="3"/>
        <v>0</v>
      </c>
      <c r="N20" s="192">
        <f>'Vložení sil'!H6</f>
        <v>0</v>
      </c>
      <c r="O20" s="193">
        <f>'Vložení sil'!I6</f>
        <v>0</v>
      </c>
      <c r="P20" s="193">
        <f>'Vložení sil'!J6</f>
        <v>0</v>
      </c>
      <c r="Q20" s="194">
        <f>'Vložení sil'!K6</f>
        <v>0</v>
      </c>
    </row>
    <row r="21" spans="2:26">
      <c r="B21" s="175" t="s">
        <v>70</v>
      </c>
      <c r="C21" s="195">
        <f>'Časový snímek'!C31</f>
        <v>0</v>
      </c>
      <c r="D21" s="183">
        <f>'Časový snímek'!F31</f>
        <v>0</v>
      </c>
      <c r="E21" s="196">
        <v>0</v>
      </c>
      <c r="F21" s="197">
        <v>0</v>
      </c>
      <c r="G21" s="197">
        <v>0</v>
      </c>
      <c r="H21" s="198">
        <v>0</v>
      </c>
      <c r="J21" s="187">
        <f t="shared" si="0"/>
        <v>0</v>
      </c>
      <c r="K21" s="188">
        <f t="shared" si="1"/>
        <v>0</v>
      </c>
      <c r="L21" s="187">
        <f t="shared" si="2"/>
        <v>0</v>
      </c>
      <c r="M21" s="187">
        <f t="shared" si="3"/>
        <v>0</v>
      </c>
      <c r="N21" s="192">
        <f>'Vložení sil'!H7</f>
        <v>0</v>
      </c>
      <c r="O21" s="193">
        <f>'Vložení sil'!I7</f>
        <v>0</v>
      </c>
      <c r="P21" s="193">
        <f>'Vložení sil'!J7</f>
        <v>0</v>
      </c>
      <c r="Q21" s="194">
        <f>'Vložení sil'!K7</f>
        <v>0</v>
      </c>
    </row>
    <row r="22" spans="2:26">
      <c r="B22" s="175" t="s">
        <v>71</v>
      </c>
      <c r="C22" s="195">
        <f>'Časový snímek'!C32</f>
        <v>0</v>
      </c>
      <c r="D22" s="199">
        <f>'Časový snímek'!F32</f>
        <v>0</v>
      </c>
      <c r="E22" s="200">
        <v>0</v>
      </c>
      <c r="F22" s="201">
        <v>0</v>
      </c>
      <c r="G22" s="201">
        <v>0</v>
      </c>
      <c r="H22" s="202">
        <v>0</v>
      </c>
      <c r="J22" s="187">
        <f t="shared" si="0"/>
        <v>0</v>
      </c>
      <c r="K22" s="187">
        <f t="shared" si="1"/>
        <v>0</v>
      </c>
      <c r="L22" s="187">
        <f t="shared" si="2"/>
        <v>0</v>
      </c>
      <c r="M22" s="187">
        <f t="shared" si="3"/>
        <v>0</v>
      </c>
      <c r="N22" s="192">
        <f>'Vložení sil'!H8</f>
        <v>0</v>
      </c>
      <c r="O22" s="193">
        <f>'Vložení sil'!I8</f>
        <v>0</v>
      </c>
      <c r="P22" s="193">
        <f>'Vložení sil'!J8</f>
        <v>0</v>
      </c>
      <c r="Q22" s="194">
        <f>'Vložení sil'!K8</f>
        <v>0</v>
      </c>
    </row>
    <row r="23" spans="2:26">
      <c r="B23" s="175" t="s">
        <v>72</v>
      </c>
      <c r="C23" s="195">
        <f>'Časový snímek'!C33</f>
        <v>0</v>
      </c>
      <c r="D23" s="199">
        <f>'Časový snímek'!F33</f>
        <v>0</v>
      </c>
      <c r="E23" s="200">
        <v>0</v>
      </c>
      <c r="F23" s="201">
        <v>0</v>
      </c>
      <c r="G23" s="201">
        <v>0</v>
      </c>
      <c r="H23" s="202">
        <v>0</v>
      </c>
      <c r="J23" s="187">
        <f t="shared" si="0"/>
        <v>0</v>
      </c>
      <c r="K23" s="187">
        <f t="shared" si="1"/>
        <v>0</v>
      </c>
      <c r="L23" s="187">
        <f t="shared" si="2"/>
        <v>0</v>
      </c>
      <c r="M23" s="187">
        <f t="shared" si="3"/>
        <v>0</v>
      </c>
      <c r="N23" s="192">
        <f>'Vložení sil'!H9</f>
        <v>0</v>
      </c>
      <c r="O23" s="193">
        <f>'Vložení sil'!I9</f>
        <v>0</v>
      </c>
      <c r="P23" s="193">
        <f>'Vložení sil'!J9</f>
        <v>0</v>
      </c>
      <c r="Q23" s="194">
        <f>'Vložení sil'!K9</f>
        <v>0</v>
      </c>
    </row>
    <row r="24" spans="2:26">
      <c r="B24" s="175" t="s">
        <v>73</v>
      </c>
      <c r="C24" s="195">
        <f>'Časový snímek'!C34</f>
        <v>0</v>
      </c>
      <c r="D24" s="199">
        <f>'Časový snímek'!F34</f>
        <v>0</v>
      </c>
      <c r="E24" s="200">
        <v>0</v>
      </c>
      <c r="F24" s="201">
        <v>0</v>
      </c>
      <c r="G24" s="201">
        <v>0</v>
      </c>
      <c r="H24" s="202">
        <v>0</v>
      </c>
      <c r="J24" s="187">
        <f t="shared" si="0"/>
        <v>0</v>
      </c>
      <c r="K24" s="187">
        <f t="shared" si="1"/>
        <v>0</v>
      </c>
      <c r="L24" s="187">
        <f t="shared" si="2"/>
        <v>0</v>
      </c>
      <c r="M24" s="187">
        <f t="shared" si="3"/>
        <v>0</v>
      </c>
      <c r="N24" s="192">
        <f>'Vložení sil'!H10</f>
        <v>0</v>
      </c>
      <c r="O24" s="193">
        <f>'Vložení sil'!I10</f>
        <v>0</v>
      </c>
      <c r="P24" s="193">
        <f>'Vložení sil'!J10</f>
        <v>0</v>
      </c>
      <c r="Q24" s="194">
        <f>'Vložení sil'!K10</f>
        <v>0</v>
      </c>
    </row>
    <row r="25" spans="2:26" ht="13.5" customHeight="1" thickBot="1">
      <c r="B25" s="175" t="s">
        <v>74</v>
      </c>
      <c r="C25" s="195">
        <f>'Časový snímek'!C35</f>
        <v>0</v>
      </c>
      <c r="D25" s="199">
        <f>'Časový snímek'!F35</f>
        <v>0</v>
      </c>
      <c r="E25" s="257">
        <v>0</v>
      </c>
      <c r="F25" s="258">
        <v>0</v>
      </c>
      <c r="G25" s="258">
        <v>0</v>
      </c>
      <c r="H25" s="259">
        <v>0</v>
      </c>
      <c r="J25" s="187">
        <f t="shared" si="0"/>
        <v>0</v>
      </c>
      <c r="K25" s="187">
        <f t="shared" si="1"/>
        <v>0</v>
      </c>
      <c r="L25" s="187">
        <f t="shared" si="2"/>
        <v>0</v>
      </c>
      <c r="M25" s="187">
        <f t="shared" si="3"/>
        <v>0</v>
      </c>
      <c r="N25" s="203">
        <f>'Vložení sil'!H11</f>
        <v>0</v>
      </c>
      <c r="O25" s="133">
        <f>'Vložení sil'!I11</f>
        <v>0</v>
      </c>
      <c r="P25" s="133">
        <f>'Vložení sil'!J11</f>
        <v>0</v>
      </c>
      <c r="Q25" s="204">
        <f>'Vložení sil'!K11</f>
        <v>0</v>
      </c>
    </row>
    <row r="26" spans="2:26">
      <c r="B26" s="254" t="s">
        <v>138</v>
      </c>
      <c r="C26" s="255" t="s">
        <v>139</v>
      </c>
      <c r="D26" s="199">
        <f>'Časový snímek'!J6</f>
        <v>30</v>
      </c>
      <c r="E26" s="261"/>
      <c r="F26" s="261"/>
      <c r="G26" s="261"/>
      <c r="H26" s="262"/>
      <c r="J26" s="205">
        <f>SUM(J16:J25)</f>
        <v>9.3229166666666679</v>
      </c>
      <c r="K26" s="205">
        <f>SUM(K16:K25)</f>
        <v>6</v>
      </c>
      <c r="L26" s="205">
        <f>SUM(L16:L25)</f>
        <v>7.197916666666667</v>
      </c>
      <c r="M26" s="205">
        <f>SUM(M16:M25)</f>
        <v>1.1979166666666667</v>
      </c>
      <c r="N26" s="174"/>
      <c r="O26" s="174"/>
    </row>
    <row r="27" spans="2:26" ht="16.5" customHeight="1" thickBot="1">
      <c r="B27" s="175"/>
      <c r="C27" s="206" t="s">
        <v>140</v>
      </c>
      <c r="D27" s="207">
        <f>SUM(D16:D25)</f>
        <v>480</v>
      </c>
      <c r="E27" s="263"/>
      <c r="F27" s="263"/>
      <c r="G27" s="263"/>
      <c r="H27" s="264"/>
      <c r="J27" s="174"/>
      <c r="K27" s="174"/>
      <c r="L27" s="174"/>
      <c r="M27" s="174"/>
      <c r="N27" s="174"/>
      <c r="O27" s="174"/>
    </row>
    <row r="28" spans="2:26" ht="22.5" customHeight="1" thickBot="1">
      <c r="B28" s="208"/>
      <c r="C28" s="513" t="s">
        <v>141</v>
      </c>
      <c r="D28" s="467"/>
      <c r="E28" s="260">
        <f>ROUND(J26,1)</f>
        <v>9.3000000000000007</v>
      </c>
      <c r="F28" s="260">
        <f>ROUND(K26,1)</f>
        <v>6</v>
      </c>
      <c r="G28" s="260">
        <f>ROUND(L26,1)</f>
        <v>7.2</v>
      </c>
      <c r="H28" s="260">
        <f>ROUND(M26,1)</f>
        <v>1.2</v>
      </c>
      <c r="J28" s="174"/>
      <c r="K28" s="174"/>
      <c r="L28" s="174"/>
      <c r="M28" s="174"/>
      <c r="N28" s="174"/>
      <c r="O28" s="174"/>
    </row>
    <row r="29" spans="2:26" ht="13.5" customHeight="1" thickBot="1"/>
    <row r="30" spans="2:26" ht="26.25" customHeight="1" thickBot="1">
      <c r="B30" s="475" t="s">
        <v>142</v>
      </c>
      <c r="C30" s="411"/>
      <c r="D30" s="411"/>
      <c r="E30" s="411"/>
      <c r="F30" s="411"/>
      <c r="G30" s="411"/>
      <c r="H30" s="411"/>
      <c r="I30" s="403"/>
      <c r="N30" s="475" t="s">
        <v>143</v>
      </c>
      <c r="O30" s="411"/>
      <c r="P30" s="411"/>
      <c r="Q30" s="411"/>
      <c r="R30" s="411"/>
      <c r="S30" s="411"/>
      <c r="T30" s="411"/>
      <c r="U30" s="403"/>
      <c r="W30" s="475" t="s">
        <v>144</v>
      </c>
      <c r="X30" s="411"/>
      <c r="Y30" s="411"/>
      <c r="Z30" s="403"/>
    </row>
    <row r="31" spans="2:26" ht="13.5" customHeight="1" thickBot="1"/>
    <row r="32" spans="2:26">
      <c r="B32" s="473" t="s">
        <v>145</v>
      </c>
      <c r="C32" s="436"/>
      <c r="D32" s="436"/>
      <c r="E32" s="436"/>
      <c r="F32" s="492" t="s">
        <v>146</v>
      </c>
      <c r="G32" s="434"/>
      <c r="H32" s="505" t="s">
        <v>147</v>
      </c>
      <c r="I32" s="419"/>
      <c r="N32" s="473" t="s">
        <v>145</v>
      </c>
      <c r="O32" s="436"/>
      <c r="P32" s="436"/>
      <c r="Q32" s="436"/>
      <c r="R32" s="492" t="s">
        <v>146</v>
      </c>
      <c r="S32" s="434"/>
      <c r="T32" s="505" t="s">
        <v>147</v>
      </c>
      <c r="U32" s="419"/>
      <c r="W32" s="479" t="s">
        <v>146</v>
      </c>
      <c r="X32" s="434"/>
      <c r="Y32" s="495" t="s">
        <v>147</v>
      </c>
      <c r="Z32" s="419"/>
    </row>
    <row r="33" spans="2:29" ht="13.5" customHeight="1" thickBot="1">
      <c r="B33" s="423"/>
      <c r="C33" s="437"/>
      <c r="D33" s="437"/>
      <c r="E33" s="437"/>
      <c r="F33" s="454"/>
      <c r="G33" s="478"/>
      <c r="H33" s="454"/>
      <c r="I33" s="506"/>
      <c r="N33" s="423"/>
      <c r="O33" s="437"/>
      <c r="P33" s="437"/>
      <c r="Q33" s="437"/>
      <c r="R33" s="454"/>
      <c r="S33" s="478"/>
      <c r="T33" s="454"/>
      <c r="U33" s="506"/>
      <c r="W33" s="423"/>
      <c r="X33" s="429"/>
      <c r="Y33" s="420"/>
      <c r="Z33" s="421"/>
    </row>
    <row r="34" spans="2:29">
      <c r="B34" s="503" t="str">
        <f>'Časový snímek'!C26</f>
        <v>Zakládání</v>
      </c>
      <c r="C34" s="436"/>
      <c r="D34" s="436"/>
      <c r="E34" s="436"/>
      <c r="F34" s="502">
        <f t="shared" ref="F34:F43" si="4">ROUND(G49*H49,-1)</f>
        <v>0</v>
      </c>
      <c r="G34" s="498"/>
      <c r="H34" s="502">
        <f t="shared" ref="H34:H43" si="5">ROUND(G49*I49,-1)</f>
        <v>0</v>
      </c>
      <c r="I34" s="498"/>
      <c r="N34" s="514" t="str">
        <f>'Časový snímek'!C26</f>
        <v>Zakládání</v>
      </c>
      <c r="O34" s="436"/>
      <c r="P34" s="436"/>
      <c r="Q34" s="434"/>
      <c r="R34" s="509">
        <f t="shared" ref="R34:R43" si="6">ROUND(S49*T49,-1)</f>
        <v>0</v>
      </c>
      <c r="S34" s="498"/>
      <c r="T34" s="502">
        <f t="shared" ref="T34:T43" si="7">ROUND(S49*U49,-1)</f>
        <v>0</v>
      </c>
      <c r="U34" s="498"/>
      <c r="W34" s="511">
        <f>SUM(F44,R44)</f>
        <v>0</v>
      </c>
      <c r="X34" s="436"/>
      <c r="Y34" s="491">
        <f>SUM(H44,T44)</f>
        <v>0</v>
      </c>
      <c r="Z34" s="419"/>
      <c r="AB34" s="346">
        <f t="shared" ref="AB34:AB39" si="8">F34+R34</f>
        <v>0</v>
      </c>
      <c r="AC34" s="346">
        <f t="shared" ref="AC34:AC39" si="9">H34+T34</f>
        <v>0</v>
      </c>
    </row>
    <row r="35" spans="2:29" ht="13.5" customHeight="1" thickBot="1">
      <c r="B35" s="477" t="str">
        <f>'Časový snímek'!C27</f>
        <v>Bezpečnostní přestávka</v>
      </c>
      <c r="C35" s="407"/>
      <c r="D35" s="407"/>
      <c r="E35" s="478"/>
      <c r="F35" s="486">
        <f t="shared" si="4"/>
        <v>0</v>
      </c>
      <c r="G35" s="405"/>
      <c r="H35" s="476">
        <f t="shared" si="5"/>
        <v>0</v>
      </c>
      <c r="I35" s="405"/>
      <c r="N35" s="477" t="str">
        <f>'Časový snímek'!C27</f>
        <v>Bezpečnostní přestávka</v>
      </c>
      <c r="O35" s="407"/>
      <c r="P35" s="407"/>
      <c r="Q35" s="478"/>
      <c r="R35" s="486">
        <f t="shared" si="6"/>
        <v>0</v>
      </c>
      <c r="S35" s="405"/>
      <c r="T35" s="476">
        <f t="shared" si="7"/>
        <v>0</v>
      </c>
      <c r="U35" s="405"/>
      <c r="W35" s="423"/>
      <c r="X35" s="437"/>
      <c r="Y35" s="420"/>
      <c r="Z35" s="421"/>
      <c r="AB35" s="346">
        <f t="shared" si="8"/>
        <v>0</v>
      </c>
      <c r="AC35" s="346">
        <f t="shared" si="9"/>
        <v>0</v>
      </c>
    </row>
    <row r="36" spans="2:29">
      <c r="B36" s="487" t="str">
        <f>'Časový snímek'!C28</f>
        <v>Přestávka na jídlo a oddech</v>
      </c>
      <c r="C36" s="407"/>
      <c r="D36" s="407"/>
      <c r="E36" s="407"/>
      <c r="F36" s="476">
        <f t="shared" si="4"/>
        <v>0</v>
      </c>
      <c r="G36" s="405"/>
      <c r="H36" s="476">
        <f t="shared" si="5"/>
        <v>0</v>
      </c>
      <c r="I36" s="405"/>
      <c r="N36" s="487" t="str">
        <f>'Časový snímek'!C28</f>
        <v>Přestávka na jídlo a oddech</v>
      </c>
      <c r="O36" s="407"/>
      <c r="P36" s="407"/>
      <c r="Q36" s="407"/>
      <c r="R36" s="476">
        <f t="shared" si="6"/>
        <v>0</v>
      </c>
      <c r="S36" s="405"/>
      <c r="T36" s="476">
        <f t="shared" si="7"/>
        <v>0</v>
      </c>
      <c r="U36" s="405"/>
      <c r="AB36" s="346">
        <f t="shared" si="8"/>
        <v>0</v>
      </c>
      <c r="AC36" s="346">
        <f t="shared" si="9"/>
        <v>0</v>
      </c>
    </row>
    <row r="37" spans="2:29">
      <c r="B37" s="487">
        <f>'Časový snímek'!C29</f>
        <v>0</v>
      </c>
      <c r="C37" s="407"/>
      <c r="D37" s="407"/>
      <c r="E37" s="407"/>
      <c r="F37" s="476">
        <f t="shared" si="4"/>
        <v>0</v>
      </c>
      <c r="G37" s="405"/>
      <c r="H37" s="476">
        <f t="shared" si="5"/>
        <v>0</v>
      </c>
      <c r="I37" s="405"/>
      <c r="N37" s="487">
        <f>'Časový snímek'!C29</f>
        <v>0</v>
      </c>
      <c r="O37" s="407"/>
      <c r="P37" s="407"/>
      <c r="Q37" s="407"/>
      <c r="R37" s="476">
        <f t="shared" si="6"/>
        <v>0</v>
      </c>
      <c r="S37" s="405"/>
      <c r="T37" s="476">
        <f t="shared" si="7"/>
        <v>0</v>
      </c>
      <c r="U37" s="405"/>
      <c r="AB37" s="346">
        <f t="shared" si="8"/>
        <v>0</v>
      </c>
      <c r="AC37" s="346">
        <f t="shared" si="9"/>
        <v>0</v>
      </c>
    </row>
    <row r="38" spans="2:29">
      <c r="B38" s="487">
        <f>'Časový snímek'!C30</f>
        <v>0</v>
      </c>
      <c r="C38" s="407"/>
      <c r="D38" s="407"/>
      <c r="E38" s="407"/>
      <c r="F38" s="476">
        <f t="shared" si="4"/>
        <v>0</v>
      </c>
      <c r="G38" s="405"/>
      <c r="H38" s="476">
        <f t="shared" si="5"/>
        <v>0</v>
      </c>
      <c r="I38" s="405"/>
      <c r="N38" s="487">
        <f>'Časový snímek'!C30</f>
        <v>0</v>
      </c>
      <c r="O38" s="407"/>
      <c r="P38" s="407"/>
      <c r="Q38" s="407"/>
      <c r="R38" s="476">
        <f t="shared" si="6"/>
        <v>0</v>
      </c>
      <c r="S38" s="405"/>
      <c r="T38" s="476">
        <f t="shared" si="7"/>
        <v>0</v>
      </c>
      <c r="U38" s="405"/>
      <c r="AB38" s="346">
        <f t="shared" si="8"/>
        <v>0</v>
      </c>
      <c r="AC38" s="346">
        <f t="shared" si="9"/>
        <v>0</v>
      </c>
    </row>
    <row r="39" spans="2:29">
      <c r="B39" s="477">
        <f>'Časový snímek'!C31</f>
        <v>0</v>
      </c>
      <c r="C39" s="407"/>
      <c r="D39" s="407"/>
      <c r="E39" s="478"/>
      <c r="F39" s="486">
        <f t="shared" si="4"/>
        <v>0</v>
      </c>
      <c r="G39" s="405"/>
      <c r="H39" s="476">
        <f t="shared" si="5"/>
        <v>0</v>
      </c>
      <c r="I39" s="405"/>
      <c r="N39" s="487">
        <f>'Časový snímek'!C31</f>
        <v>0</v>
      </c>
      <c r="O39" s="407"/>
      <c r="P39" s="407"/>
      <c r="Q39" s="407"/>
      <c r="R39" s="476">
        <f t="shared" si="6"/>
        <v>0</v>
      </c>
      <c r="S39" s="405"/>
      <c r="T39" s="476">
        <f t="shared" si="7"/>
        <v>0</v>
      </c>
      <c r="U39" s="405"/>
      <c r="AB39" s="346">
        <f t="shared" si="8"/>
        <v>0</v>
      </c>
      <c r="AC39" s="346">
        <f t="shared" si="9"/>
        <v>0</v>
      </c>
    </row>
    <row r="40" spans="2:29">
      <c r="B40" s="487">
        <f>'Časový snímek'!C32</f>
        <v>0</v>
      </c>
      <c r="C40" s="407"/>
      <c r="D40" s="407"/>
      <c r="E40" s="407"/>
      <c r="F40" s="476">
        <f t="shared" si="4"/>
        <v>0</v>
      </c>
      <c r="G40" s="405"/>
      <c r="H40" s="476">
        <f t="shared" si="5"/>
        <v>0</v>
      </c>
      <c r="I40" s="405"/>
      <c r="N40" s="487">
        <f>'Časový snímek'!C32</f>
        <v>0</v>
      </c>
      <c r="O40" s="407"/>
      <c r="P40" s="407"/>
      <c r="Q40" s="407"/>
      <c r="R40" s="476">
        <f t="shared" si="6"/>
        <v>0</v>
      </c>
      <c r="S40" s="405"/>
      <c r="T40" s="476">
        <f t="shared" si="7"/>
        <v>0</v>
      </c>
      <c r="U40" s="405"/>
    </row>
    <row r="41" spans="2:29">
      <c r="B41" s="487">
        <f>'Časový snímek'!C33</f>
        <v>0</v>
      </c>
      <c r="C41" s="407"/>
      <c r="D41" s="407"/>
      <c r="E41" s="407"/>
      <c r="F41" s="476">
        <f t="shared" si="4"/>
        <v>0</v>
      </c>
      <c r="G41" s="405"/>
      <c r="H41" s="476">
        <f t="shared" si="5"/>
        <v>0</v>
      </c>
      <c r="I41" s="405"/>
      <c r="N41" s="477">
        <f>'Časový snímek'!C33</f>
        <v>0</v>
      </c>
      <c r="O41" s="407"/>
      <c r="P41" s="407"/>
      <c r="Q41" s="478"/>
      <c r="R41" s="486">
        <f t="shared" si="6"/>
        <v>0</v>
      </c>
      <c r="S41" s="405"/>
      <c r="T41" s="476">
        <f t="shared" si="7"/>
        <v>0</v>
      </c>
      <c r="U41" s="405"/>
    </row>
    <row r="42" spans="2:29">
      <c r="B42" s="477">
        <f>'Časový snímek'!C34</f>
        <v>0</v>
      </c>
      <c r="C42" s="407"/>
      <c r="D42" s="407"/>
      <c r="E42" s="478"/>
      <c r="F42" s="486">
        <f t="shared" si="4"/>
        <v>0</v>
      </c>
      <c r="G42" s="405"/>
      <c r="H42" s="476">
        <f t="shared" si="5"/>
        <v>0</v>
      </c>
      <c r="I42" s="405"/>
      <c r="N42" s="487">
        <f>'Časový snímek'!C34</f>
        <v>0</v>
      </c>
      <c r="O42" s="407"/>
      <c r="P42" s="407"/>
      <c r="Q42" s="407"/>
      <c r="R42" s="476">
        <f t="shared" si="6"/>
        <v>0</v>
      </c>
      <c r="S42" s="405"/>
      <c r="T42" s="476">
        <f t="shared" si="7"/>
        <v>0</v>
      </c>
      <c r="U42" s="405"/>
    </row>
    <row r="43" spans="2:29" ht="13.5" customHeight="1" thickBot="1">
      <c r="B43" s="499">
        <f>'Časový snímek'!C35</f>
        <v>0</v>
      </c>
      <c r="C43" s="437"/>
      <c r="D43" s="437"/>
      <c r="E43" s="429"/>
      <c r="F43" s="512">
        <f t="shared" si="4"/>
        <v>0</v>
      </c>
      <c r="G43" s="415"/>
      <c r="H43" s="504">
        <f t="shared" si="5"/>
        <v>0</v>
      </c>
      <c r="I43" s="415"/>
      <c r="N43" s="500">
        <f>'Časový snímek'!C35</f>
        <v>0</v>
      </c>
      <c r="O43" s="437"/>
      <c r="P43" s="437"/>
      <c r="Q43" s="437"/>
      <c r="R43" s="504">
        <f t="shared" si="6"/>
        <v>0</v>
      </c>
      <c r="S43" s="415"/>
      <c r="T43" s="504">
        <f t="shared" si="7"/>
        <v>0</v>
      </c>
      <c r="U43" s="415"/>
    </row>
    <row r="44" spans="2:29" ht="13.5" customHeight="1" thickBot="1">
      <c r="B44" s="485" t="s">
        <v>148</v>
      </c>
      <c r="C44" s="411"/>
      <c r="D44" s="411"/>
      <c r="E44" s="413"/>
      <c r="F44" s="480">
        <f>SUM(F34:G43)</f>
        <v>0</v>
      </c>
      <c r="G44" s="429"/>
      <c r="H44" s="493">
        <f>SUM(H34:I43)</f>
        <v>0</v>
      </c>
      <c r="I44" s="421"/>
      <c r="N44" s="485" t="s">
        <v>148</v>
      </c>
      <c r="O44" s="411"/>
      <c r="P44" s="411"/>
      <c r="Q44" s="413"/>
      <c r="R44" s="480">
        <f>SUM(R34:S43)</f>
        <v>0</v>
      </c>
      <c r="S44" s="429"/>
      <c r="T44" s="493">
        <f>SUM(T34:U43)</f>
        <v>0</v>
      </c>
      <c r="U44" s="421"/>
    </row>
    <row r="45" spans="2:29" ht="13.5" customHeight="1" thickBot="1"/>
    <row r="46" spans="2:29">
      <c r="B46" s="473" t="s">
        <v>145</v>
      </c>
      <c r="C46" s="436"/>
      <c r="D46" s="436"/>
      <c r="E46" s="436"/>
      <c r="F46" s="453" t="s">
        <v>149</v>
      </c>
      <c r="G46" s="496" t="s">
        <v>150</v>
      </c>
      <c r="H46" s="482" t="s">
        <v>151</v>
      </c>
      <c r="I46" s="419"/>
      <c r="N46" s="473" t="s">
        <v>145</v>
      </c>
      <c r="O46" s="436"/>
      <c r="P46" s="436"/>
      <c r="Q46" s="436"/>
      <c r="R46" s="453" t="s">
        <v>149</v>
      </c>
      <c r="S46" s="496" t="s">
        <v>150</v>
      </c>
      <c r="T46" s="482" t="s">
        <v>151</v>
      </c>
      <c r="U46" s="419"/>
    </row>
    <row r="47" spans="2:29">
      <c r="B47" s="474"/>
      <c r="C47" s="407"/>
      <c r="D47" s="407"/>
      <c r="E47" s="407"/>
      <c r="F47" s="454"/>
      <c r="G47" s="454"/>
      <c r="H47" s="483"/>
      <c r="I47" s="484"/>
      <c r="N47" s="474"/>
      <c r="O47" s="407"/>
      <c r="P47" s="407"/>
      <c r="Q47" s="407"/>
      <c r="R47" s="454"/>
      <c r="S47" s="454"/>
      <c r="T47" s="483"/>
      <c r="U47" s="484"/>
    </row>
    <row r="48" spans="2:29" ht="13.5" customHeight="1" thickBot="1">
      <c r="B48" s="423"/>
      <c r="C48" s="437"/>
      <c r="D48" s="437"/>
      <c r="E48" s="437"/>
      <c r="F48" s="420"/>
      <c r="G48" s="420"/>
      <c r="H48" s="231" t="s">
        <v>146</v>
      </c>
      <c r="I48" s="232" t="s">
        <v>147</v>
      </c>
      <c r="N48" s="423"/>
      <c r="O48" s="437"/>
      <c r="P48" s="437"/>
      <c r="Q48" s="437"/>
      <c r="R48" s="420"/>
      <c r="S48" s="420"/>
      <c r="T48" s="231" t="s">
        <v>146</v>
      </c>
      <c r="U48" s="232" t="s">
        <v>147</v>
      </c>
    </row>
    <row r="49" spans="2:21">
      <c r="B49" s="514" t="str">
        <f>'Časový snímek'!C26</f>
        <v>Zakládání</v>
      </c>
      <c r="C49" s="436"/>
      <c r="D49" s="436"/>
      <c r="E49" s="434"/>
      <c r="F49" s="233" t="s">
        <v>152</v>
      </c>
      <c r="G49" s="235">
        <f>'Časový snímek'!F26</f>
        <v>415</v>
      </c>
      <c r="H49" s="235">
        <f>'Pohyby prac. A'!V5</f>
        <v>0</v>
      </c>
      <c r="I49" s="234">
        <f>'Pohyby prac. A'!V6</f>
        <v>0</v>
      </c>
      <c r="N49" s="514" t="str">
        <f>'Časový snímek'!C26</f>
        <v>Zakládání</v>
      </c>
      <c r="O49" s="436"/>
      <c r="P49" s="436"/>
      <c r="Q49" s="434"/>
      <c r="R49" s="233" t="s">
        <v>153</v>
      </c>
      <c r="S49" s="235">
        <f>'Časový snímek'!K26</f>
        <v>179.97166666666666</v>
      </c>
      <c r="T49" s="235">
        <f>'Pohyby prac. A'!V29</f>
        <v>0</v>
      </c>
      <c r="U49" s="234">
        <f>'Pohyby prac. A'!V30</f>
        <v>0</v>
      </c>
    </row>
    <row r="50" spans="2:21">
      <c r="B50" s="477" t="str">
        <f>'Časový snímek'!C27</f>
        <v>Bezpečnostní přestávka</v>
      </c>
      <c r="C50" s="407"/>
      <c r="D50" s="407"/>
      <c r="E50" s="478"/>
      <c r="F50" s="233" t="s">
        <v>152</v>
      </c>
      <c r="G50" s="235">
        <f>'Časový snímek'!F27</f>
        <v>35</v>
      </c>
      <c r="H50" s="235">
        <f>'Pohyby prac. A'!V7</f>
        <v>0</v>
      </c>
      <c r="I50" s="234">
        <f>'Pohyby prac. A'!V8</f>
        <v>0</v>
      </c>
      <c r="N50" s="477" t="str">
        <f>'Časový snímek'!C27</f>
        <v>Bezpečnostní přestávka</v>
      </c>
      <c r="O50" s="407"/>
      <c r="P50" s="407"/>
      <c r="Q50" s="478"/>
      <c r="R50" s="233" t="s">
        <v>153</v>
      </c>
      <c r="S50" s="235">
        <f>'Časový snímek'!K27</f>
        <v>0</v>
      </c>
      <c r="T50" s="235">
        <f>'Pohyby prac. A'!V31</f>
        <v>0</v>
      </c>
      <c r="U50" s="234">
        <f>'Pohyby prac. A'!V32</f>
        <v>0</v>
      </c>
    </row>
    <row r="51" spans="2:21">
      <c r="B51" s="477" t="str">
        <f>'Časový snímek'!C28</f>
        <v>Přestávka na jídlo a oddech</v>
      </c>
      <c r="C51" s="407"/>
      <c r="D51" s="407"/>
      <c r="E51" s="478"/>
      <c r="F51" s="233" t="s">
        <v>152</v>
      </c>
      <c r="G51" s="235">
        <f>'Časový snímek'!F28</f>
        <v>30</v>
      </c>
      <c r="H51" s="235">
        <f>'Pohyby prac. A'!V9</f>
        <v>0</v>
      </c>
      <c r="I51" s="234">
        <f>'Pohyby prac. A'!V10</f>
        <v>0</v>
      </c>
      <c r="N51" s="477" t="str">
        <f>'Časový snímek'!C28</f>
        <v>Přestávka na jídlo a oddech</v>
      </c>
      <c r="O51" s="407"/>
      <c r="P51" s="407"/>
      <c r="Q51" s="478"/>
      <c r="R51" s="233" t="s">
        <v>153</v>
      </c>
      <c r="S51" s="235">
        <f>'Časový snímek'!K28</f>
        <v>0</v>
      </c>
      <c r="T51" s="235">
        <f>'Pohyby prac. A'!V33</f>
        <v>0</v>
      </c>
      <c r="U51" s="234">
        <f>'Pohyby prac. A'!V34</f>
        <v>0</v>
      </c>
    </row>
    <row r="52" spans="2:21">
      <c r="B52" s="477">
        <f>'Časový snímek'!C29</f>
        <v>0</v>
      </c>
      <c r="C52" s="407"/>
      <c r="D52" s="407"/>
      <c r="E52" s="478"/>
      <c r="F52" s="233" t="s">
        <v>152</v>
      </c>
      <c r="G52" s="235">
        <f>'Časový snímek'!F29</f>
        <v>0</v>
      </c>
      <c r="H52" s="235">
        <f>'Pohyby prac. A'!V11</f>
        <v>0</v>
      </c>
      <c r="I52" s="234">
        <f>'Pohyby prac. A'!V12</f>
        <v>0</v>
      </c>
      <c r="N52" s="477">
        <f>'Časový snímek'!C29</f>
        <v>0</v>
      </c>
      <c r="O52" s="407"/>
      <c r="P52" s="407"/>
      <c r="Q52" s="478"/>
      <c r="R52" s="233" t="s">
        <v>153</v>
      </c>
      <c r="S52" s="235">
        <f>'Časový snímek'!K29</f>
        <v>0</v>
      </c>
      <c r="T52" s="235">
        <f>'Pohyby prac. A'!V35</f>
        <v>0</v>
      </c>
      <c r="U52" s="234">
        <f>'Pohyby prac. A'!V36</f>
        <v>0</v>
      </c>
    </row>
    <row r="53" spans="2:21">
      <c r="B53" s="477">
        <f>'Časový snímek'!C30</f>
        <v>0</v>
      </c>
      <c r="C53" s="407"/>
      <c r="D53" s="407"/>
      <c r="E53" s="478"/>
      <c r="F53" s="233" t="s">
        <v>152</v>
      </c>
      <c r="G53" s="235">
        <f>'Časový snímek'!F30</f>
        <v>0</v>
      </c>
      <c r="H53" s="235">
        <f>'Pohyby prac. A'!V13</f>
        <v>0</v>
      </c>
      <c r="I53" s="234">
        <f>'Pohyby prac. A'!V14</f>
        <v>0</v>
      </c>
      <c r="N53" s="477">
        <f>'Časový snímek'!C30</f>
        <v>0</v>
      </c>
      <c r="O53" s="407"/>
      <c r="P53" s="407"/>
      <c r="Q53" s="478"/>
      <c r="R53" s="233" t="s">
        <v>153</v>
      </c>
      <c r="S53" s="235">
        <f>'Časový snímek'!K30</f>
        <v>0</v>
      </c>
      <c r="T53" s="235">
        <f>'Pohyby prac. A'!V37</f>
        <v>0</v>
      </c>
      <c r="U53" s="234">
        <f>'Pohyby prac. A'!V38</f>
        <v>0</v>
      </c>
    </row>
    <row r="54" spans="2:21">
      <c r="B54" s="477">
        <f>'Časový snímek'!C31</f>
        <v>0</v>
      </c>
      <c r="C54" s="407"/>
      <c r="D54" s="407"/>
      <c r="E54" s="478"/>
      <c r="F54" s="233" t="s">
        <v>152</v>
      </c>
      <c r="G54" s="235">
        <f>'Časový snímek'!F31</f>
        <v>0</v>
      </c>
      <c r="H54" s="235">
        <f>'Pohyby prac. A'!V15</f>
        <v>0</v>
      </c>
      <c r="I54" s="234">
        <f>'Pohyby prac. A'!V16</f>
        <v>0</v>
      </c>
      <c r="N54" s="477">
        <f>'Časový snímek'!C31</f>
        <v>0</v>
      </c>
      <c r="O54" s="407"/>
      <c r="P54" s="407"/>
      <c r="Q54" s="478"/>
      <c r="R54" s="233" t="s">
        <v>153</v>
      </c>
      <c r="S54" s="235">
        <f>'Časový snímek'!K31</f>
        <v>0</v>
      </c>
      <c r="T54" s="235">
        <f>'Pohyby prac. A'!V39</f>
        <v>0</v>
      </c>
      <c r="U54" s="234">
        <f>'Pohyby prac. A'!V40</f>
        <v>0</v>
      </c>
    </row>
    <row r="55" spans="2:21">
      <c r="B55" s="477">
        <f>'Časový snímek'!C32</f>
        <v>0</v>
      </c>
      <c r="C55" s="407"/>
      <c r="D55" s="407"/>
      <c r="E55" s="478"/>
      <c r="F55" s="233" t="s">
        <v>152</v>
      </c>
      <c r="G55" s="235">
        <f>'Časový snímek'!F32</f>
        <v>0</v>
      </c>
      <c r="H55" s="235">
        <f>'Pohyby prac. A'!V17</f>
        <v>0</v>
      </c>
      <c r="I55" s="234">
        <f>'Pohyby prac. A'!V18</f>
        <v>0</v>
      </c>
      <c r="N55" s="477">
        <f>'Časový snímek'!C32</f>
        <v>0</v>
      </c>
      <c r="O55" s="407"/>
      <c r="P55" s="407"/>
      <c r="Q55" s="478"/>
      <c r="R55" s="233" t="s">
        <v>153</v>
      </c>
      <c r="S55" s="235">
        <f>'Časový snímek'!K32</f>
        <v>0</v>
      </c>
      <c r="T55" s="235">
        <f>'Pohyby prac. A'!V41</f>
        <v>0</v>
      </c>
      <c r="U55" s="234">
        <f>'Pohyby prac. A'!V42</f>
        <v>0</v>
      </c>
    </row>
    <row r="56" spans="2:21">
      <c r="B56" s="477">
        <f>'Časový snímek'!C33</f>
        <v>0</v>
      </c>
      <c r="C56" s="407"/>
      <c r="D56" s="407"/>
      <c r="E56" s="478"/>
      <c r="F56" s="233" t="s">
        <v>152</v>
      </c>
      <c r="G56" s="235">
        <f>'Časový snímek'!F33</f>
        <v>0</v>
      </c>
      <c r="H56" s="235">
        <f>'Pohyby prac. A'!V19</f>
        <v>0</v>
      </c>
      <c r="I56" s="234">
        <f>'Pohyby prac. A'!V20</f>
        <v>0</v>
      </c>
      <c r="N56" s="477">
        <f>'Časový snímek'!C33</f>
        <v>0</v>
      </c>
      <c r="O56" s="407"/>
      <c r="P56" s="407"/>
      <c r="Q56" s="478"/>
      <c r="R56" s="233" t="s">
        <v>153</v>
      </c>
      <c r="S56" s="235">
        <f>'Časový snímek'!K33</f>
        <v>0</v>
      </c>
      <c r="T56" s="235">
        <f>'Pohyby prac. A'!V43</f>
        <v>0</v>
      </c>
      <c r="U56" s="234">
        <f>'Pohyby prac. A'!V44</f>
        <v>0</v>
      </c>
    </row>
    <row r="57" spans="2:21">
      <c r="B57" s="477">
        <f>'Časový snímek'!C34</f>
        <v>0</v>
      </c>
      <c r="C57" s="407"/>
      <c r="D57" s="407"/>
      <c r="E57" s="478"/>
      <c r="F57" s="233" t="s">
        <v>152</v>
      </c>
      <c r="G57" s="235">
        <f>'Časový snímek'!F34</f>
        <v>0</v>
      </c>
      <c r="H57" s="235">
        <f>'Pohyby prac. A'!V21</f>
        <v>0</v>
      </c>
      <c r="I57" s="234">
        <f>'Pohyby prac. A'!V22</f>
        <v>0</v>
      </c>
      <c r="N57" s="477">
        <f>'Časový snímek'!C34</f>
        <v>0</v>
      </c>
      <c r="O57" s="407"/>
      <c r="P57" s="407"/>
      <c r="Q57" s="478"/>
      <c r="R57" s="233" t="s">
        <v>153</v>
      </c>
      <c r="S57" s="235">
        <f>'Časový snímek'!K34</f>
        <v>0</v>
      </c>
      <c r="T57" s="235">
        <f>'Pohyby prac. A'!V45</f>
        <v>0</v>
      </c>
      <c r="U57" s="234">
        <f>'Pohyby prac. A'!V46</f>
        <v>0</v>
      </c>
    </row>
    <row r="58" spans="2:21" ht="13.5" customHeight="1" thickBot="1">
      <c r="B58" s="499">
        <f>'Časový snímek'!C35</f>
        <v>0</v>
      </c>
      <c r="C58" s="437"/>
      <c r="D58" s="437"/>
      <c r="E58" s="429"/>
      <c r="F58" s="233" t="s">
        <v>152</v>
      </c>
      <c r="G58" s="235">
        <f>'Časový snímek'!F35</f>
        <v>0</v>
      </c>
      <c r="H58" s="235">
        <f>'Pohyby prac. A'!V23</f>
        <v>0</v>
      </c>
      <c r="I58" s="234">
        <f>'Pohyby prac. A'!V24</f>
        <v>0</v>
      </c>
      <c r="N58" s="477">
        <f>'Časový snímek'!C35</f>
        <v>0</v>
      </c>
      <c r="O58" s="407"/>
      <c r="P58" s="407"/>
      <c r="Q58" s="478"/>
      <c r="R58" s="233" t="s">
        <v>153</v>
      </c>
      <c r="S58" s="235">
        <f>'Časový snímek'!K35</f>
        <v>0</v>
      </c>
      <c r="T58" s="235">
        <f>'Pohyby prac. A'!V47</f>
        <v>0</v>
      </c>
      <c r="U58" s="234">
        <f>'Pohyby prac. A'!V48</f>
        <v>0</v>
      </c>
    </row>
    <row r="59" spans="2:21" ht="13.5" customHeight="1" thickBot="1">
      <c r="B59" s="485" t="s">
        <v>154</v>
      </c>
      <c r="C59" s="411"/>
      <c r="D59" s="411"/>
      <c r="E59" s="413"/>
      <c r="F59" s="236" t="s">
        <v>152</v>
      </c>
      <c r="G59" s="237">
        <f>SUM(G49:G58)</f>
        <v>480</v>
      </c>
      <c r="H59" s="237">
        <f>F44</f>
        <v>0</v>
      </c>
      <c r="I59" s="238">
        <f>H44</f>
        <v>0</v>
      </c>
      <c r="N59" s="485" t="s">
        <v>154</v>
      </c>
      <c r="O59" s="411"/>
      <c r="P59" s="411"/>
      <c r="Q59" s="413"/>
      <c r="R59" s="236" t="s">
        <v>153</v>
      </c>
      <c r="S59" s="237">
        <f>SUM(S49:S58)</f>
        <v>179.97166666666666</v>
      </c>
      <c r="T59" s="237">
        <f>R44</f>
        <v>0</v>
      </c>
      <c r="U59" s="238">
        <f>T44</f>
        <v>0</v>
      </c>
    </row>
    <row r="60" spans="2:21" ht="13.5" customHeight="1" thickBot="1"/>
    <row r="61" spans="2:21" ht="28.5" customHeight="1" thickBot="1">
      <c r="B61" s="272"/>
      <c r="C61" s="272"/>
      <c r="D61" s="272"/>
      <c r="E61" s="272"/>
      <c r="F61" s="475" t="s">
        <v>155</v>
      </c>
      <c r="G61" s="411"/>
      <c r="H61" s="411"/>
      <c r="I61" s="411"/>
      <c r="J61" s="411"/>
      <c r="K61" s="411"/>
      <c r="L61" s="411"/>
      <c r="M61" s="411"/>
      <c r="N61" s="411"/>
      <c r="O61" s="411"/>
      <c r="P61" s="411"/>
      <c r="Q61" s="403"/>
    </row>
    <row r="62" spans="2:21" ht="10.5" customHeight="1" thickBot="1">
      <c r="B62" s="516"/>
      <c r="C62" s="407"/>
      <c r="D62" s="407"/>
      <c r="E62" s="407"/>
      <c r="F62" s="407"/>
      <c r="G62" s="407"/>
      <c r="H62" s="407"/>
      <c r="I62" s="407"/>
    </row>
    <row r="63" spans="2:21">
      <c r="O63" s="280" t="s">
        <v>156</v>
      </c>
      <c r="P63" s="282">
        <v>8</v>
      </c>
      <c r="Q63" s="284" t="s">
        <v>157</v>
      </c>
    </row>
    <row r="64" spans="2:21" ht="13.5" customHeight="1" thickBot="1">
      <c r="O64" s="281" t="s">
        <v>158</v>
      </c>
      <c r="P64" s="283">
        <f>(P63-8)*5</f>
        <v>0</v>
      </c>
      <c r="Q64" s="285" t="s">
        <v>159</v>
      </c>
    </row>
    <row r="65" spans="7:28">
      <c r="R65" s="48" t="s">
        <v>160</v>
      </c>
      <c r="S65" s="48" t="s">
        <v>146</v>
      </c>
      <c r="T65" s="48" t="s">
        <v>147</v>
      </c>
    </row>
    <row r="66" spans="7:28">
      <c r="N66" s="517"/>
      <c r="O66" s="407"/>
      <c r="P66" s="70"/>
      <c r="Q66" s="70"/>
      <c r="R66" s="37">
        <v>7</v>
      </c>
      <c r="S66" s="38">
        <f t="shared" ref="S66:S112" si="10">((V66/100)*$P$64)+V66</f>
        <v>27600</v>
      </c>
      <c r="T66" s="38">
        <f t="shared" ref="T66:T112" si="11">((V66/100)*$P$64)+V66</f>
        <v>27600</v>
      </c>
      <c r="U66" s="50"/>
      <c r="V66" s="37">
        <v>27600</v>
      </c>
      <c r="W66" s="70"/>
      <c r="X66" s="70"/>
      <c r="Y66" s="37"/>
    </row>
    <row r="67" spans="7:28">
      <c r="N67" s="273"/>
      <c r="O67" s="273"/>
      <c r="P67" s="70"/>
      <c r="Q67" s="70"/>
      <c r="R67" s="37">
        <v>8</v>
      </c>
      <c r="S67" s="38">
        <f t="shared" si="10"/>
        <v>24300</v>
      </c>
      <c r="T67" s="38">
        <f t="shared" si="11"/>
        <v>24300</v>
      </c>
      <c r="U67" s="50"/>
      <c r="V67" s="37">
        <v>24300</v>
      </c>
      <c r="W67" s="70"/>
      <c r="X67" s="70"/>
      <c r="Y67" s="37"/>
    </row>
    <row r="68" spans="7:28">
      <c r="N68" s="274"/>
      <c r="O68" s="275"/>
      <c r="P68" s="501"/>
      <c r="Q68" s="407"/>
      <c r="R68" s="37">
        <v>9</v>
      </c>
      <c r="S68" s="38">
        <f t="shared" si="10"/>
        <v>21800</v>
      </c>
      <c r="T68" s="38">
        <f t="shared" si="11"/>
        <v>21800</v>
      </c>
      <c r="U68" s="277"/>
      <c r="V68" s="37">
        <v>21800</v>
      </c>
      <c r="W68" s="279"/>
      <c r="X68" s="279"/>
      <c r="Y68" s="37"/>
    </row>
    <row r="69" spans="7:28">
      <c r="R69" s="37">
        <v>10</v>
      </c>
      <c r="S69" s="38">
        <f t="shared" si="10"/>
        <v>19800</v>
      </c>
      <c r="T69" s="38">
        <f t="shared" si="11"/>
        <v>19800</v>
      </c>
      <c r="V69" s="37">
        <v>19800</v>
      </c>
      <c r="Y69" s="37"/>
    </row>
    <row r="70" spans="7:28">
      <c r="R70" s="37">
        <v>11</v>
      </c>
      <c r="S70" s="38">
        <f t="shared" si="10"/>
        <v>18100</v>
      </c>
      <c r="T70" s="38">
        <f t="shared" si="11"/>
        <v>18100</v>
      </c>
      <c r="U70" s="70"/>
      <c r="V70" s="37">
        <v>18100</v>
      </c>
      <c r="W70" s="50"/>
      <c r="X70" s="50"/>
      <c r="Y70" s="37"/>
      <c r="Z70" s="70"/>
      <c r="AA70" s="70"/>
      <c r="AB70" s="70"/>
    </row>
    <row r="71" spans="7:28">
      <c r="R71" s="37">
        <v>12</v>
      </c>
      <c r="S71" s="38">
        <f t="shared" si="10"/>
        <v>16700</v>
      </c>
      <c r="T71" s="38">
        <f t="shared" si="11"/>
        <v>16700</v>
      </c>
      <c r="U71" s="70"/>
      <c r="V71" s="37">
        <v>16700</v>
      </c>
      <c r="W71" s="50"/>
      <c r="X71" s="50"/>
      <c r="Y71" s="37"/>
      <c r="Z71" s="70"/>
      <c r="AA71" s="70"/>
      <c r="AB71" s="70"/>
    </row>
    <row r="72" spans="7:28">
      <c r="R72" s="37">
        <v>13</v>
      </c>
      <c r="S72" s="38">
        <f t="shared" si="10"/>
        <v>15500</v>
      </c>
      <c r="T72" s="38">
        <f t="shared" si="11"/>
        <v>15500</v>
      </c>
      <c r="U72" s="276"/>
      <c r="V72" s="37">
        <v>15500</v>
      </c>
      <c r="W72" s="278"/>
      <c r="X72" s="277"/>
      <c r="Y72" s="37"/>
      <c r="Z72" s="279"/>
      <c r="AA72" s="279"/>
      <c r="AB72" s="279"/>
    </row>
    <row r="73" spans="7:28">
      <c r="R73" s="37">
        <v>14</v>
      </c>
      <c r="S73" s="38">
        <f t="shared" si="10"/>
        <v>14400</v>
      </c>
      <c r="T73" s="38">
        <f t="shared" si="11"/>
        <v>14400</v>
      </c>
      <c r="V73" s="37">
        <v>14400</v>
      </c>
      <c r="Y73" s="37"/>
    </row>
    <row r="74" spans="7:28">
      <c r="R74" s="37">
        <v>15</v>
      </c>
      <c r="S74" s="38">
        <f t="shared" si="10"/>
        <v>13500</v>
      </c>
      <c r="T74" s="38">
        <f t="shared" si="11"/>
        <v>13500</v>
      </c>
      <c r="V74" s="37">
        <v>13500</v>
      </c>
      <c r="Y74" s="37"/>
    </row>
    <row r="75" spans="7:28">
      <c r="R75" s="37">
        <v>16</v>
      </c>
      <c r="S75" s="38">
        <f t="shared" si="10"/>
        <v>12700</v>
      </c>
      <c r="T75" s="38">
        <f t="shared" si="11"/>
        <v>12700</v>
      </c>
      <c r="V75" s="37">
        <v>12700</v>
      </c>
      <c r="Y75" s="37"/>
    </row>
    <row r="76" spans="7:28">
      <c r="R76" s="37">
        <v>17</v>
      </c>
      <c r="S76" s="38">
        <f t="shared" si="10"/>
        <v>12000</v>
      </c>
      <c r="T76" s="38">
        <f t="shared" si="11"/>
        <v>12000</v>
      </c>
      <c r="V76" s="37">
        <v>12000</v>
      </c>
      <c r="Y76" s="37"/>
    </row>
    <row r="77" spans="7:28">
      <c r="R77" s="37">
        <v>18</v>
      </c>
      <c r="S77" s="38">
        <f t="shared" si="10"/>
        <v>11400</v>
      </c>
      <c r="T77" s="38">
        <f t="shared" si="11"/>
        <v>11400</v>
      </c>
      <c r="V77" s="37">
        <v>11400</v>
      </c>
      <c r="Y77" s="37"/>
    </row>
    <row r="78" spans="7:28">
      <c r="R78" s="37">
        <v>19</v>
      </c>
      <c r="S78" s="38">
        <f t="shared" si="10"/>
        <v>10900</v>
      </c>
      <c r="T78" s="38">
        <f t="shared" si="11"/>
        <v>10900</v>
      </c>
      <c r="V78" s="37">
        <v>10900</v>
      </c>
      <c r="Y78" s="37"/>
    </row>
    <row r="79" spans="7:28">
      <c r="G79" s="409"/>
      <c r="H79" s="407"/>
      <c r="I79" s="494"/>
      <c r="J79" s="107"/>
      <c r="K79" s="107"/>
      <c r="L79" s="107"/>
      <c r="M79" s="409"/>
      <c r="N79" s="407"/>
      <c r="O79" s="494"/>
      <c r="R79" s="37">
        <v>20</v>
      </c>
      <c r="S79" s="38">
        <f t="shared" si="10"/>
        <v>10400</v>
      </c>
      <c r="T79" s="38">
        <f t="shared" si="11"/>
        <v>10400</v>
      </c>
      <c r="V79" s="37">
        <v>10400</v>
      </c>
      <c r="Y79" s="37"/>
    </row>
    <row r="80" spans="7:28">
      <c r="G80" s="107"/>
      <c r="H80" s="107"/>
      <c r="I80" s="407"/>
      <c r="J80" s="107"/>
      <c r="K80" s="107"/>
      <c r="L80" s="107"/>
      <c r="M80" s="107"/>
      <c r="N80" s="107"/>
      <c r="O80" s="407"/>
      <c r="R80" s="37">
        <v>21</v>
      </c>
      <c r="S80" s="38">
        <f t="shared" si="10"/>
        <v>10000</v>
      </c>
      <c r="T80" s="38">
        <f t="shared" si="11"/>
        <v>10000</v>
      </c>
      <c r="V80" s="37">
        <v>10000</v>
      </c>
      <c r="Y80" s="37"/>
    </row>
    <row r="81" spans="3:25">
      <c r="R81" s="37">
        <v>22</v>
      </c>
      <c r="S81" s="38">
        <f t="shared" si="10"/>
        <v>9600</v>
      </c>
      <c r="T81" s="38">
        <f t="shared" si="11"/>
        <v>9600</v>
      </c>
      <c r="V81" s="37">
        <v>9600</v>
      </c>
      <c r="Y81" s="37"/>
    </row>
    <row r="82" spans="3:25" ht="14.25" customHeight="1">
      <c r="C82" s="107"/>
      <c r="R82" s="37">
        <v>23</v>
      </c>
      <c r="S82" s="38">
        <f t="shared" si="10"/>
        <v>9300</v>
      </c>
      <c r="T82" s="38">
        <f t="shared" si="11"/>
        <v>9300</v>
      </c>
      <c r="V82" s="37">
        <v>9300</v>
      </c>
      <c r="Y82" s="37"/>
    </row>
    <row r="83" spans="3:25">
      <c r="R83" s="37">
        <v>24</v>
      </c>
      <c r="S83" s="38">
        <f t="shared" si="10"/>
        <v>9000</v>
      </c>
      <c r="T83" s="38">
        <f t="shared" si="11"/>
        <v>9000</v>
      </c>
      <c r="V83" s="37">
        <v>9000</v>
      </c>
      <c r="Y83" s="37"/>
    </row>
    <row r="84" spans="3:25">
      <c r="R84" s="37">
        <v>25</v>
      </c>
      <c r="S84" s="38">
        <f t="shared" si="10"/>
        <v>8700</v>
      </c>
      <c r="T84" s="38">
        <f t="shared" si="11"/>
        <v>8700</v>
      </c>
      <c r="V84" s="37">
        <v>8700</v>
      </c>
      <c r="Y84" s="37"/>
    </row>
    <row r="85" spans="3:25">
      <c r="R85" s="37">
        <v>26</v>
      </c>
      <c r="S85" s="38">
        <f t="shared" si="10"/>
        <v>8400</v>
      </c>
      <c r="T85" s="38">
        <f t="shared" si="11"/>
        <v>8400</v>
      </c>
      <c r="V85" s="37">
        <v>8400</v>
      </c>
      <c r="Y85" s="37"/>
    </row>
    <row r="86" spans="3:25" ht="13.5" customHeight="1" thickBot="1">
      <c r="R86" s="37">
        <v>27</v>
      </c>
      <c r="S86" s="38">
        <f t="shared" si="10"/>
        <v>8100</v>
      </c>
      <c r="T86" s="38">
        <f t="shared" si="11"/>
        <v>8100</v>
      </c>
      <c r="V86" s="37">
        <v>8100</v>
      </c>
      <c r="Y86" s="37"/>
    </row>
    <row r="87" spans="3:25" ht="18" customHeight="1">
      <c r="G87" s="497" t="s">
        <v>161</v>
      </c>
      <c r="H87" s="498"/>
      <c r="I87" s="507" t="s">
        <v>162</v>
      </c>
      <c r="J87" s="292"/>
      <c r="K87" s="292"/>
      <c r="L87" s="292"/>
      <c r="M87" s="510" t="s">
        <v>163</v>
      </c>
      <c r="N87" s="498"/>
      <c r="O87" s="489" t="s">
        <v>164</v>
      </c>
      <c r="R87" s="37">
        <v>28</v>
      </c>
      <c r="S87" s="38">
        <f t="shared" si="10"/>
        <v>7800</v>
      </c>
      <c r="T87" s="38">
        <f t="shared" si="11"/>
        <v>7800</v>
      </c>
      <c r="V87" s="37">
        <v>7800</v>
      </c>
      <c r="Y87" s="37"/>
    </row>
    <row r="88" spans="3:25" ht="17.25" customHeight="1" thickBot="1">
      <c r="G88" s="294" t="s">
        <v>165</v>
      </c>
      <c r="H88" s="297" t="s">
        <v>166</v>
      </c>
      <c r="I88" s="508"/>
      <c r="J88" s="293"/>
      <c r="K88" s="293"/>
      <c r="L88" s="293"/>
      <c r="M88" s="297" t="s">
        <v>165</v>
      </c>
      <c r="N88" s="300" t="s">
        <v>166</v>
      </c>
      <c r="O88" s="490"/>
      <c r="R88" s="37">
        <v>29</v>
      </c>
      <c r="S88" s="38">
        <f t="shared" si="10"/>
        <v>7500</v>
      </c>
      <c r="T88" s="38">
        <f t="shared" si="11"/>
        <v>7500</v>
      </c>
      <c r="V88" s="37">
        <v>7500</v>
      </c>
      <c r="Y88" s="37"/>
    </row>
    <row r="89" spans="3:25" ht="17.25" customHeight="1" thickBot="1">
      <c r="G89" s="295">
        <f>E28</f>
        <v>9.3000000000000007</v>
      </c>
      <c r="H89" s="296">
        <f>F28</f>
        <v>6</v>
      </c>
      <c r="I89" s="298">
        <f>SUM(F44,R44)</f>
        <v>0</v>
      </c>
      <c r="J89" s="287"/>
      <c r="K89" s="287"/>
      <c r="L89" s="287"/>
      <c r="M89" s="299">
        <f>G28</f>
        <v>7.2</v>
      </c>
      <c r="N89" s="301">
        <f>H28</f>
        <v>1.2</v>
      </c>
      <c r="O89" s="302">
        <f>SUM(H44,T44)</f>
        <v>0</v>
      </c>
      <c r="R89" s="39">
        <v>30</v>
      </c>
      <c r="S89" s="38">
        <f t="shared" si="10"/>
        <v>7200</v>
      </c>
      <c r="T89" s="38">
        <f t="shared" si="11"/>
        <v>7200</v>
      </c>
      <c r="V89" s="37">
        <v>7200</v>
      </c>
      <c r="Y89" s="37"/>
    </row>
    <row r="90" spans="3:25">
      <c r="R90" s="39">
        <v>31</v>
      </c>
      <c r="S90" s="38">
        <f t="shared" si="10"/>
        <v>6900</v>
      </c>
      <c r="T90" s="38">
        <f t="shared" si="11"/>
        <v>6900</v>
      </c>
      <c r="V90" s="37">
        <v>6900</v>
      </c>
      <c r="Y90" s="37"/>
    </row>
    <row r="91" spans="3:25">
      <c r="R91" s="37">
        <v>32</v>
      </c>
      <c r="S91" s="38">
        <f t="shared" si="10"/>
        <v>6600</v>
      </c>
      <c r="T91" s="38">
        <f t="shared" si="11"/>
        <v>6600</v>
      </c>
      <c r="V91" s="37">
        <v>6600</v>
      </c>
      <c r="Y91" s="37"/>
    </row>
    <row r="92" spans="3:25">
      <c r="R92" s="37">
        <v>33</v>
      </c>
      <c r="S92" s="38">
        <f t="shared" si="10"/>
        <v>6300</v>
      </c>
      <c r="T92" s="38">
        <f t="shared" si="11"/>
        <v>6300</v>
      </c>
      <c r="V92" s="37">
        <v>6300</v>
      </c>
      <c r="Y92" s="37"/>
    </row>
    <row r="93" spans="3:25">
      <c r="R93" s="37">
        <v>34</v>
      </c>
      <c r="S93" s="38">
        <f t="shared" si="10"/>
        <v>6000</v>
      </c>
      <c r="T93" s="38">
        <f t="shared" si="11"/>
        <v>6000</v>
      </c>
      <c r="V93" s="37">
        <v>6000</v>
      </c>
      <c r="Y93" s="37"/>
    </row>
    <row r="94" spans="3:25">
      <c r="R94" s="37">
        <v>35</v>
      </c>
      <c r="S94" s="38">
        <f t="shared" si="10"/>
        <v>5800</v>
      </c>
      <c r="T94" s="38">
        <f t="shared" si="11"/>
        <v>5800</v>
      </c>
      <c r="V94" s="37">
        <v>5800</v>
      </c>
      <c r="Y94" s="37"/>
    </row>
    <row r="95" spans="3:25">
      <c r="R95" s="37">
        <v>36</v>
      </c>
      <c r="S95" s="38">
        <f t="shared" si="10"/>
        <v>5600</v>
      </c>
      <c r="T95" s="38">
        <f t="shared" si="11"/>
        <v>5600</v>
      </c>
      <c r="V95" s="37">
        <v>5600</v>
      </c>
      <c r="Y95" s="37"/>
    </row>
    <row r="96" spans="3:25">
      <c r="R96" s="37">
        <v>37</v>
      </c>
      <c r="S96" s="38">
        <f t="shared" si="10"/>
        <v>5400</v>
      </c>
      <c r="T96" s="38">
        <f t="shared" si="11"/>
        <v>5400</v>
      </c>
      <c r="V96" s="37">
        <v>5400</v>
      </c>
      <c r="Y96" s="37"/>
    </row>
    <row r="97" spans="18:25">
      <c r="R97" s="37">
        <v>38</v>
      </c>
      <c r="S97" s="38">
        <f t="shared" si="10"/>
        <v>5200</v>
      </c>
      <c r="T97" s="38">
        <f t="shared" si="11"/>
        <v>5200</v>
      </c>
      <c r="V97" s="37">
        <v>5200</v>
      </c>
      <c r="Y97" s="37"/>
    </row>
    <row r="98" spans="18:25">
      <c r="R98" s="37">
        <v>39</v>
      </c>
      <c r="S98" s="38">
        <f t="shared" si="10"/>
        <v>5000</v>
      </c>
      <c r="T98" s="38">
        <f t="shared" si="11"/>
        <v>5000</v>
      </c>
      <c r="V98" s="37">
        <v>5000</v>
      </c>
      <c r="Y98" s="37"/>
    </row>
    <row r="99" spans="18:25">
      <c r="R99" s="37">
        <v>40</v>
      </c>
      <c r="S99" s="38">
        <f t="shared" si="10"/>
        <v>4800</v>
      </c>
      <c r="T99" s="38">
        <f t="shared" si="11"/>
        <v>4800</v>
      </c>
      <c r="V99" s="37">
        <v>4800</v>
      </c>
      <c r="Y99" s="37"/>
    </row>
    <row r="100" spans="18:25">
      <c r="R100" s="37">
        <v>41</v>
      </c>
      <c r="S100" s="38">
        <f t="shared" si="10"/>
        <v>4600</v>
      </c>
      <c r="T100" s="38">
        <f t="shared" si="11"/>
        <v>4600</v>
      </c>
      <c r="V100" s="37">
        <v>4600</v>
      </c>
      <c r="Y100" s="37"/>
    </row>
    <row r="101" spans="18:25">
      <c r="R101" s="37">
        <v>42</v>
      </c>
      <c r="S101" s="38">
        <f t="shared" si="10"/>
        <v>4400</v>
      </c>
      <c r="T101" s="38">
        <f t="shared" si="11"/>
        <v>4400</v>
      </c>
      <c r="V101" s="37">
        <v>4400</v>
      </c>
      <c r="Y101" s="37"/>
    </row>
    <row r="102" spans="18:25">
      <c r="R102" s="37">
        <v>43</v>
      </c>
      <c r="S102" s="38">
        <f t="shared" si="10"/>
        <v>4200</v>
      </c>
      <c r="T102" s="38">
        <f t="shared" si="11"/>
        <v>4200</v>
      </c>
      <c r="V102" s="37">
        <v>4200</v>
      </c>
      <c r="Y102" s="37"/>
    </row>
    <row r="103" spans="18:25">
      <c r="R103" s="37">
        <v>44</v>
      </c>
      <c r="S103" s="38">
        <f t="shared" si="10"/>
        <v>4000</v>
      </c>
      <c r="T103" s="38">
        <f t="shared" si="11"/>
        <v>4000</v>
      </c>
      <c r="V103" s="37">
        <v>4000</v>
      </c>
      <c r="Y103" s="37"/>
    </row>
    <row r="104" spans="18:25">
      <c r="R104" s="37">
        <v>45</v>
      </c>
      <c r="S104" s="38">
        <f t="shared" si="10"/>
        <v>3800</v>
      </c>
      <c r="T104" s="38">
        <f t="shared" si="11"/>
        <v>3800</v>
      </c>
      <c r="V104" s="37">
        <v>3800</v>
      </c>
      <c r="Y104" s="37"/>
    </row>
    <row r="105" spans="18:25">
      <c r="R105" s="37">
        <v>46</v>
      </c>
      <c r="S105" s="38">
        <f t="shared" si="10"/>
        <v>3600</v>
      </c>
      <c r="T105" s="38">
        <f t="shared" si="11"/>
        <v>3600</v>
      </c>
      <c r="V105" s="37">
        <v>3600</v>
      </c>
      <c r="Y105" s="37"/>
    </row>
    <row r="106" spans="18:25">
      <c r="R106" s="37">
        <v>47</v>
      </c>
      <c r="S106" s="38">
        <f t="shared" si="10"/>
        <v>3400</v>
      </c>
      <c r="T106" s="38">
        <f t="shared" si="11"/>
        <v>3400</v>
      </c>
      <c r="V106" s="37">
        <v>3400</v>
      </c>
      <c r="Y106" s="37"/>
    </row>
    <row r="107" spans="18:25">
      <c r="R107" s="37">
        <v>48</v>
      </c>
      <c r="S107" s="38">
        <f t="shared" si="10"/>
        <v>3200</v>
      </c>
      <c r="T107" s="38">
        <f t="shared" si="11"/>
        <v>3200</v>
      </c>
      <c r="V107" s="37">
        <v>3200</v>
      </c>
      <c r="Y107" s="37"/>
    </row>
    <row r="108" spans="18:25">
      <c r="R108" s="37">
        <v>49</v>
      </c>
      <c r="S108" s="38">
        <f t="shared" si="10"/>
        <v>3000</v>
      </c>
      <c r="T108" s="38">
        <f t="shared" si="11"/>
        <v>3000</v>
      </c>
      <c r="V108" s="37">
        <v>3000</v>
      </c>
      <c r="Y108" s="37"/>
    </row>
    <row r="109" spans="18:25">
      <c r="R109" s="37">
        <v>50</v>
      </c>
      <c r="S109" s="38">
        <f t="shared" si="10"/>
        <v>2700</v>
      </c>
      <c r="T109" s="38">
        <f t="shared" si="11"/>
        <v>2700</v>
      </c>
      <c r="V109" s="37">
        <v>2700</v>
      </c>
      <c r="Y109" s="37"/>
    </row>
    <row r="110" spans="18:25">
      <c r="R110" s="37">
        <v>51</v>
      </c>
      <c r="S110" s="38">
        <f t="shared" si="10"/>
        <v>2400</v>
      </c>
      <c r="T110" s="38">
        <f t="shared" si="11"/>
        <v>2400</v>
      </c>
      <c r="V110" s="37">
        <v>2400</v>
      </c>
      <c r="Y110" s="37"/>
    </row>
    <row r="111" spans="18:25">
      <c r="R111" s="37">
        <v>52</v>
      </c>
      <c r="S111" s="38">
        <f t="shared" si="10"/>
        <v>2100</v>
      </c>
      <c r="T111" s="38">
        <f t="shared" si="11"/>
        <v>2100</v>
      </c>
      <c r="V111" s="37">
        <v>2100</v>
      </c>
      <c r="Y111" s="37"/>
    </row>
    <row r="112" spans="18:25">
      <c r="R112" s="37">
        <v>53</v>
      </c>
      <c r="S112" s="38">
        <f t="shared" si="10"/>
        <v>1800</v>
      </c>
      <c r="T112" s="38">
        <f t="shared" si="11"/>
        <v>1800</v>
      </c>
      <c r="V112" s="37">
        <v>1800</v>
      </c>
      <c r="Y112" s="37"/>
    </row>
  </sheetData>
  <mergeCells count="126">
    <mergeCell ref="B62:I62"/>
    <mergeCell ref="R44:S44"/>
    <mergeCell ref="N34:Q34"/>
    <mergeCell ref="N66:O66"/>
    <mergeCell ref="M79:N79"/>
    <mergeCell ref="B36:E36"/>
    <mergeCell ref="T42:U42"/>
    <mergeCell ref="N49:Q49"/>
    <mergeCell ref="H39:I39"/>
    <mergeCell ref="N36:Q36"/>
    <mergeCell ref="T44:U44"/>
    <mergeCell ref="B3:H3"/>
    <mergeCell ref="F61:Q61"/>
    <mergeCell ref="T32:U33"/>
    <mergeCell ref="N53:Q53"/>
    <mergeCell ref="W34:X35"/>
    <mergeCell ref="B39:E39"/>
    <mergeCell ref="H37:I37"/>
    <mergeCell ref="R41:S41"/>
    <mergeCell ref="T41:U41"/>
    <mergeCell ref="F43:G43"/>
    <mergeCell ref="R43:S43"/>
    <mergeCell ref="T43:U43"/>
    <mergeCell ref="B38:E38"/>
    <mergeCell ref="C28:D28"/>
    <mergeCell ref="N38:Q38"/>
    <mergeCell ref="N32:Q33"/>
    <mergeCell ref="H46:I47"/>
    <mergeCell ref="B40:E40"/>
    <mergeCell ref="B49:E49"/>
    <mergeCell ref="N40:Q40"/>
    <mergeCell ref="F34:G34"/>
    <mergeCell ref="H41:I41"/>
    <mergeCell ref="B51:E51"/>
    <mergeCell ref="E14:H14"/>
    <mergeCell ref="I87:I88"/>
    <mergeCell ref="T35:U35"/>
    <mergeCell ref="R34:S34"/>
    <mergeCell ref="B41:E41"/>
    <mergeCell ref="H34:I34"/>
    <mergeCell ref="B35:E35"/>
    <mergeCell ref="B50:E50"/>
    <mergeCell ref="N35:Q35"/>
    <mergeCell ref="F42:G42"/>
    <mergeCell ref="R36:S36"/>
    <mergeCell ref="H36:I36"/>
    <mergeCell ref="N50:Q50"/>
    <mergeCell ref="S46:S48"/>
    <mergeCell ref="N51:Q51"/>
    <mergeCell ref="R42:S42"/>
    <mergeCell ref="M87:N87"/>
    <mergeCell ref="N42:Q42"/>
    <mergeCell ref="F39:G39"/>
    <mergeCell ref="N52:Q52"/>
    <mergeCell ref="B53:E53"/>
    <mergeCell ref="N39:Q39"/>
    <mergeCell ref="T37:U37"/>
    <mergeCell ref="N44:Q44"/>
    <mergeCell ref="B37:E37"/>
    <mergeCell ref="O87:O88"/>
    <mergeCell ref="N59:Q59"/>
    <mergeCell ref="Y34:Z35"/>
    <mergeCell ref="R38:S38"/>
    <mergeCell ref="F46:F48"/>
    <mergeCell ref="R32:S33"/>
    <mergeCell ref="H44:I44"/>
    <mergeCell ref="R46:R48"/>
    <mergeCell ref="F40:G40"/>
    <mergeCell ref="R40:S40"/>
    <mergeCell ref="O79:O80"/>
    <mergeCell ref="Y32:Z33"/>
    <mergeCell ref="N54:Q54"/>
    <mergeCell ref="G46:G48"/>
    <mergeCell ref="N41:Q41"/>
    <mergeCell ref="R35:S35"/>
    <mergeCell ref="G87:H87"/>
    <mergeCell ref="T40:U40"/>
    <mergeCell ref="I79:I80"/>
    <mergeCell ref="N56:Q56"/>
    <mergeCell ref="N43:Q43"/>
    <mergeCell ref="G79:H79"/>
    <mergeCell ref="P68:Q68"/>
    <mergeCell ref="H42:I42"/>
    <mergeCell ref="C1:G1"/>
    <mergeCell ref="N55:Q55"/>
    <mergeCell ref="R37:S37"/>
    <mergeCell ref="T46:U47"/>
    <mergeCell ref="B59:E59"/>
    <mergeCell ref="F41:G41"/>
    <mergeCell ref="F35:G35"/>
    <mergeCell ref="N37:Q37"/>
    <mergeCell ref="J13:M13"/>
    <mergeCell ref="F38:G38"/>
    <mergeCell ref="B56:E56"/>
    <mergeCell ref="B43:E43"/>
    <mergeCell ref="B58:E58"/>
    <mergeCell ref="B52:E52"/>
    <mergeCell ref="B42:E42"/>
    <mergeCell ref="B57:E57"/>
    <mergeCell ref="B44:E44"/>
    <mergeCell ref="T34:U34"/>
    <mergeCell ref="B34:E34"/>
    <mergeCell ref="R39:S39"/>
    <mergeCell ref="T39:U39"/>
    <mergeCell ref="F32:G33"/>
    <mergeCell ref="H38:I38"/>
    <mergeCell ref="H43:I43"/>
    <mergeCell ref="W30:Z30"/>
    <mergeCell ref="B46:E48"/>
    <mergeCell ref="N46:Q48"/>
    <mergeCell ref="F37:G37"/>
    <mergeCell ref="B32:E33"/>
    <mergeCell ref="B30:I30"/>
    <mergeCell ref="N58:Q58"/>
    <mergeCell ref="N30:U30"/>
    <mergeCell ref="T36:U36"/>
    <mergeCell ref="W32:X33"/>
    <mergeCell ref="F44:G44"/>
    <mergeCell ref="N57:Q57"/>
    <mergeCell ref="T38:U38"/>
    <mergeCell ref="B55:E55"/>
    <mergeCell ref="H40:I40"/>
    <mergeCell ref="H32:I33"/>
    <mergeCell ref="B54:E54"/>
    <mergeCell ref="F36:G36"/>
    <mergeCell ref="H35:I35"/>
  </mergeCells>
  <conditionalFormatting sqref="N16:Q25">
    <cfRule type="cellIs" dxfId="1" priority="1" operator="greaterThan">
      <formula>0</formula>
    </cfRule>
  </conditionalFormatting>
  <pageMargins left="0.39" right="0.44" top="0.26" bottom="0.25" header="0.23" footer="0.21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6">
    <tabColor rgb="FF00B0F0"/>
  </sheetPr>
  <dimension ref="B1:J43"/>
  <sheetViews>
    <sheetView workbookViewId="0"/>
  </sheetViews>
  <sheetFormatPr defaultRowHeight="13.2"/>
  <cols>
    <col min="1" max="1" width="1.44140625" customWidth="1"/>
    <col min="2" max="2" width="3.88671875" customWidth="1"/>
    <col min="3" max="3" width="36.44140625" customWidth="1"/>
    <col min="4" max="5" width="8" customWidth="1"/>
    <col min="6" max="6" width="10.5546875" customWidth="1"/>
    <col min="7" max="7" width="11" customWidth="1"/>
    <col min="8" max="9" width="10" customWidth="1"/>
  </cols>
  <sheetData>
    <row r="1" spans="2:10" ht="19.5" customHeight="1">
      <c r="B1" s="2"/>
      <c r="C1" s="519" t="s">
        <v>167</v>
      </c>
      <c r="D1" s="456"/>
      <c r="E1" s="456"/>
      <c r="F1" s="456"/>
      <c r="G1" s="85">
        <f>'Časový snímek'!D5</f>
        <v>0</v>
      </c>
      <c r="H1" s="2"/>
      <c r="I1" s="2"/>
    </row>
    <row r="2" spans="2:10" ht="15" customHeight="1">
      <c r="B2" s="4"/>
      <c r="C2" s="524" t="s">
        <v>168</v>
      </c>
      <c r="D2" s="525"/>
      <c r="E2" s="525"/>
      <c r="F2" s="525"/>
      <c r="G2" s="525"/>
      <c r="H2" s="525"/>
      <c r="I2" s="4"/>
    </row>
    <row r="3" spans="2:10" ht="26.25" customHeight="1">
      <c r="B3" s="5"/>
      <c r="C3" s="6" t="s">
        <v>1</v>
      </c>
      <c r="D3" s="520">
        <f>'Časový snímek'!D3</f>
        <v>0</v>
      </c>
      <c r="E3" s="521"/>
      <c r="F3" s="521"/>
      <c r="G3" s="521"/>
      <c r="H3" s="521"/>
      <c r="I3" s="521"/>
    </row>
    <row r="4" spans="2:10" ht="15" customHeight="1">
      <c r="B4" s="2"/>
      <c r="C4" s="7" t="s">
        <v>169</v>
      </c>
      <c r="D4" s="523">
        <f>'Pohyby prac. A'!O2</f>
        <v>0</v>
      </c>
      <c r="E4" s="456"/>
      <c r="F4" s="456"/>
      <c r="G4" s="456"/>
      <c r="H4" s="8"/>
      <c r="I4" s="8"/>
    </row>
    <row r="5" spans="2:10" ht="15" customHeight="1">
      <c r="B5" s="2"/>
      <c r="C5" s="7" t="s">
        <v>170</v>
      </c>
      <c r="D5" s="518" t="s">
        <v>171</v>
      </c>
      <c r="E5" s="456"/>
      <c r="F5" s="456"/>
      <c r="G5" s="456"/>
      <c r="H5" s="8"/>
      <c r="I5" s="8"/>
    </row>
    <row r="6" spans="2:10" ht="15" customHeight="1">
      <c r="B6" s="2"/>
      <c r="C6" s="7" t="s">
        <v>172</v>
      </c>
      <c r="D6" s="526" t="s">
        <v>173</v>
      </c>
      <c r="E6" s="456"/>
      <c r="F6" s="456"/>
      <c r="G6" s="456"/>
      <c r="H6" s="8"/>
      <c r="I6" s="8"/>
    </row>
    <row r="7" spans="2:10" ht="15" customHeight="1">
      <c r="B7" s="2"/>
      <c r="C7" s="7" t="s">
        <v>174</v>
      </c>
      <c r="D7" s="9" t="s">
        <v>175</v>
      </c>
      <c r="E7" s="9"/>
      <c r="F7" s="9"/>
      <c r="G7" s="9"/>
      <c r="H7" s="8"/>
      <c r="I7" s="8"/>
    </row>
    <row r="8" spans="2:10" ht="29.25" customHeight="1">
      <c r="B8" s="2"/>
      <c r="C8" s="7" t="s">
        <v>2</v>
      </c>
      <c r="D8" s="518">
        <f>'Časový snímek'!D4</f>
        <v>0</v>
      </c>
      <c r="E8" s="456"/>
      <c r="F8" s="456"/>
      <c r="G8" s="10" t="s">
        <v>176</v>
      </c>
      <c r="H8" s="522"/>
      <c r="I8" s="456"/>
    </row>
    <row r="9" spans="2:10" ht="15" customHeight="1">
      <c r="B9" s="2"/>
      <c r="C9" s="7" t="s">
        <v>177</v>
      </c>
      <c r="D9" s="518"/>
      <c r="E9" s="456"/>
      <c r="F9" s="456"/>
      <c r="G9" s="11" t="s">
        <v>178</v>
      </c>
      <c r="H9" s="522"/>
      <c r="I9" s="456"/>
    </row>
    <row r="10" spans="2:10" ht="15" customHeight="1">
      <c r="B10" s="2"/>
      <c r="C10" s="7" t="s">
        <v>179</v>
      </c>
      <c r="D10" s="518"/>
      <c r="E10" s="456"/>
      <c r="F10" s="456"/>
      <c r="G10" s="456"/>
      <c r="H10" s="456"/>
      <c r="I10" s="456"/>
    </row>
    <row r="11" spans="2:10" ht="15" customHeight="1">
      <c r="B11" s="2"/>
      <c r="C11" s="7" t="s">
        <v>180</v>
      </c>
      <c r="D11" s="522"/>
      <c r="E11" s="456"/>
      <c r="F11" s="8"/>
      <c r="G11" s="10" t="s">
        <v>181</v>
      </c>
      <c r="H11" s="8"/>
      <c r="I11" s="9"/>
    </row>
    <row r="12" spans="2:10" ht="29.25" customHeight="1">
      <c r="B12" s="2"/>
      <c r="C12" s="7" t="s">
        <v>182</v>
      </c>
      <c r="D12" s="518"/>
      <c r="E12" s="456"/>
      <c r="F12" s="456"/>
      <c r="G12" s="456"/>
      <c r="H12" s="456"/>
      <c r="I12" s="456"/>
    </row>
    <row r="13" spans="2:10" ht="15" customHeight="1">
      <c r="B13" s="2"/>
      <c r="C13" s="12" t="s">
        <v>20</v>
      </c>
      <c r="D13" s="518" t="str">
        <f>'Časový snímek'!D12</f>
        <v>daisdijakl</v>
      </c>
      <c r="E13" s="456"/>
      <c r="F13" s="456"/>
      <c r="G13" s="31" t="s">
        <v>183</v>
      </c>
      <c r="H13" s="8"/>
      <c r="I13" s="13"/>
    </row>
    <row r="14" spans="2:10" ht="15" customHeight="1">
      <c r="B14" s="2"/>
      <c r="C14" s="12" t="s">
        <v>34</v>
      </c>
      <c r="D14" s="518" t="s">
        <v>184</v>
      </c>
      <c r="E14" s="456"/>
      <c r="F14" s="9"/>
      <c r="G14" s="8"/>
      <c r="H14" s="8"/>
      <c r="I14" s="8"/>
    </row>
    <row r="15" spans="2:10" ht="15" customHeight="1">
      <c r="C15" s="14"/>
      <c r="D15" s="15"/>
      <c r="E15" s="15"/>
      <c r="F15" s="15"/>
      <c r="G15" s="15"/>
      <c r="H15" s="15"/>
      <c r="I15" s="15"/>
    </row>
    <row r="16" spans="2:10" ht="48.75" customHeight="1">
      <c r="B16" s="33"/>
      <c r="C16" s="32" t="s">
        <v>132</v>
      </c>
      <c r="D16" s="32" t="s">
        <v>162</v>
      </c>
      <c r="E16" s="32" t="s">
        <v>185</v>
      </c>
      <c r="F16" s="32" t="s">
        <v>186</v>
      </c>
      <c r="G16" s="32" t="s">
        <v>187</v>
      </c>
      <c r="H16" s="32" t="s">
        <v>188</v>
      </c>
      <c r="I16" s="32" t="s">
        <v>189</v>
      </c>
      <c r="J16" s="17"/>
    </row>
    <row r="17" spans="2:9">
      <c r="B17" s="87"/>
      <c r="C17" s="87"/>
      <c r="D17" s="87"/>
      <c r="E17" s="16"/>
      <c r="F17" s="16"/>
      <c r="G17" s="16"/>
      <c r="H17" s="16"/>
      <c r="I17" s="16"/>
    </row>
    <row r="18" spans="2:9" ht="15" customHeight="1">
      <c r="B18" s="87" t="s">
        <v>62</v>
      </c>
      <c r="C18" s="88" t="s">
        <v>190</v>
      </c>
      <c r="D18" s="21">
        <f>'Pohyby prac. A'!V5</f>
        <v>0</v>
      </c>
      <c r="E18" s="21">
        <f>'Pohyby prac. A'!V6</f>
        <v>0</v>
      </c>
      <c r="F18" s="19">
        <v>1</v>
      </c>
      <c r="G18" s="21">
        <f>'Časový snímek'!J26</f>
        <v>26.02</v>
      </c>
      <c r="H18" s="21">
        <f t="shared" ref="H18:H36" si="0">PRODUCT(D18,G18)</f>
        <v>0</v>
      </c>
      <c r="I18" s="21">
        <f t="shared" ref="I18:I36" si="1">PRODUCT(E18,G18)</f>
        <v>0</v>
      </c>
    </row>
    <row r="19" spans="2:9" ht="15" customHeight="1">
      <c r="B19" s="87" t="s">
        <v>64</v>
      </c>
      <c r="C19" s="88" t="s">
        <v>191</v>
      </c>
      <c r="D19" s="21">
        <f>'Pohyby prac. A'!V7</f>
        <v>0</v>
      </c>
      <c r="E19" s="21">
        <f>'Pohyby prac. A'!V8</f>
        <v>0</v>
      </c>
      <c r="F19" s="19">
        <v>1</v>
      </c>
      <c r="G19" s="21">
        <f>'Časový snímek'!J27</f>
        <v>0</v>
      </c>
      <c r="H19" s="21">
        <f t="shared" si="0"/>
        <v>0</v>
      </c>
      <c r="I19" s="21">
        <f t="shared" si="1"/>
        <v>0</v>
      </c>
    </row>
    <row r="20" spans="2:9" ht="15" customHeight="1">
      <c r="B20" s="87" t="s">
        <v>66</v>
      </c>
      <c r="C20" s="88" t="s">
        <v>192</v>
      </c>
      <c r="D20" s="21">
        <f>'Pohyby prac. A'!V9</f>
        <v>0</v>
      </c>
      <c r="E20" s="21">
        <f>'Pohyby prac. A'!V10</f>
        <v>0</v>
      </c>
      <c r="F20" s="19">
        <v>1</v>
      </c>
      <c r="G20" s="21">
        <f>'Časový snímek'!J28</f>
        <v>0</v>
      </c>
      <c r="H20" s="21">
        <f t="shared" si="0"/>
        <v>0</v>
      </c>
      <c r="I20" s="21">
        <f t="shared" si="1"/>
        <v>0</v>
      </c>
    </row>
    <row r="21" spans="2:9" ht="15" customHeight="1">
      <c r="B21" s="87" t="s">
        <v>68</v>
      </c>
      <c r="C21" s="88"/>
      <c r="D21" s="20"/>
      <c r="E21" s="21"/>
      <c r="F21" s="19">
        <v>1</v>
      </c>
      <c r="G21" s="21">
        <f>'Časový snímek'!J29</f>
        <v>0</v>
      </c>
      <c r="H21" s="21">
        <f t="shared" si="0"/>
        <v>0</v>
      </c>
      <c r="I21" s="21">
        <f t="shared" si="1"/>
        <v>0</v>
      </c>
    </row>
    <row r="22" spans="2:9">
      <c r="B22" s="87" t="s">
        <v>69</v>
      </c>
      <c r="C22" s="87"/>
      <c r="D22" s="20"/>
      <c r="E22" s="21"/>
      <c r="F22" s="19">
        <v>1</v>
      </c>
      <c r="G22" s="21">
        <f>'Časový snímek'!J30</f>
        <v>0</v>
      </c>
      <c r="H22" s="21">
        <f t="shared" si="0"/>
        <v>0</v>
      </c>
      <c r="I22" s="21">
        <f t="shared" si="1"/>
        <v>0</v>
      </c>
    </row>
    <row r="23" spans="2:9">
      <c r="B23" s="16" t="s">
        <v>70</v>
      </c>
      <c r="C23" s="16"/>
      <c r="D23" s="21"/>
      <c r="E23" s="21"/>
      <c r="F23" s="19">
        <v>1</v>
      </c>
      <c r="G23" s="21">
        <f>'Časový snímek'!J31</f>
        <v>0</v>
      </c>
      <c r="H23" s="21">
        <f t="shared" si="0"/>
        <v>0</v>
      </c>
      <c r="I23" s="21">
        <f t="shared" si="1"/>
        <v>0</v>
      </c>
    </row>
    <row r="24" spans="2:9">
      <c r="B24" s="16" t="s">
        <v>71</v>
      </c>
      <c r="C24" s="16"/>
      <c r="D24" s="21"/>
      <c r="E24" s="21"/>
      <c r="F24" s="19">
        <v>1</v>
      </c>
      <c r="G24" s="21">
        <f>'Časový snímek'!J32</f>
        <v>0</v>
      </c>
      <c r="H24" s="21">
        <f t="shared" si="0"/>
        <v>0</v>
      </c>
      <c r="I24" s="21">
        <f t="shared" si="1"/>
        <v>0</v>
      </c>
    </row>
    <row r="25" spans="2:9">
      <c r="B25" s="16" t="s">
        <v>72</v>
      </c>
      <c r="C25" s="16"/>
      <c r="D25" s="21"/>
      <c r="E25" s="21"/>
      <c r="F25" s="19">
        <v>1</v>
      </c>
      <c r="G25" s="21">
        <f>'Časový snímek'!J33</f>
        <v>0</v>
      </c>
      <c r="H25" s="21">
        <f t="shared" si="0"/>
        <v>0</v>
      </c>
      <c r="I25" s="21">
        <f t="shared" si="1"/>
        <v>0</v>
      </c>
    </row>
    <row r="26" spans="2:9">
      <c r="B26" s="16" t="s">
        <v>73</v>
      </c>
      <c r="C26" s="16"/>
      <c r="D26" s="21"/>
      <c r="E26" s="21"/>
      <c r="F26" s="19">
        <v>1</v>
      </c>
      <c r="G26" s="21">
        <f>'Časový snímek'!J34</f>
        <v>0</v>
      </c>
      <c r="H26" s="21">
        <f t="shared" si="0"/>
        <v>0</v>
      </c>
      <c r="I26" s="21">
        <f t="shared" si="1"/>
        <v>0</v>
      </c>
    </row>
    <row r="27" spans="2:9">
      <c r="B27" s="16" t="s">
        <v>74</v>
      </c>
      <c r="C27" s="16"/>
      <c r="D27" s="21"/>
      <c r="E27" s="21"/>
      <c r="F27" s="19">
        <v>1</v>
      </c>
      <c r="G27" s="21">
        <f>'Časový snímek'!J35</f>
        <v>0</v>
      </c>
      <c r="H27" s="21">
        <f t="shared" si="0"/>
        <v>0</v>
      </c>
      <c r="I27" s="21">
        <f t="shared" si="1"/>
        <v>0</v>
      </c>
    </row>
    <row r="28" spans="2:9">
      <c r="B28" s="16" t="s">
        <v>75</v>
      </c>
      <c r="C28" s="16"/>
      <c r="D28" s="21"/>
      <c r="E28" s="21"/>
      <c r="F28" s="19">
        <v>1</v>
      </c>
      <c r="G28" s="21">
        <f>'Časový snímek'!J36</f>
        <v>0</v>
      </c>
      <c r="H28" s="21">
        <f t="shared" si="0"/>
        <v>0</v>
      </c>
      <c r="I28" s="21">
        <f t="shared" si="1"/>
        <v>0</v>
      </c>
    </row>
    <row r="29" spans="2:9">
      <c r="B29" s="16" t="s">
        <v>76</v>
      </c>
      <c r="C29" s="16"/>
      <c r="D29" s="21"/>
      <c r="E29" s="21"/>
      <c r="F29" s="19">
        <v>1</v>
      </c>
      <c r="G29" s="21">
        <f>'Časový snímek'!J37</f>
        <v>0</v>
      </c>
      <c r="H29" s="21">
        <f t="shared" si="0"/>
        <v>0</v>
      </c>
      <c r="I29" s="21">
        <f t="shared" si="1"/>
        <v>0</v>
      </c>
    </row>
    <row r="30" spans="2:9">
      <c r="B30" s="16" t="s">
        <v>77</v>
      </c>
      <c r="C30" s="16"/>
      <c r="D30" s="21"/>
      <c r="E30" s="21"/>
      <c r="F30" s="19">
        <v>1</v>
      </c>
      <c r="G30" s="21">
        <f>'Časový snímek'!J38</f>
        <v>0</v>
      </c>
      <c r="H30" s="21">
        <f t="shared" si="0"/>
        <v>0</v>
      </c>
      <c r="I30" s="21">
        <f t="shared" si="1"/>
        <v>0</v>
      </c>
    </row>
    <row r="31" spans="2:9">
      <c r="B31" s="16" t="s">
        <v>78</v>
      </c>
      <c r="C31" s="16"/>
      <c r="D31" s="21"/>
      <c r="E31" s="21"/>
      <c r="F31" s="19">
        <v>1</v>
      </c>
      <c r="G31" s="21">
        <f>'Časový snímek'!J39</f>
        <v>0</v>
      </c>
      <c r="H31" s="21">
        <f t="shared" si="0"/>
        <v>0</v>
      </c>
      <c r="I31" s="21">
        <f t="shared" si="1"/>
        <v>0</v>
      </c>
    </row>
    <row r="32" spans="2:9">
      <c r="B32" s="16" t="s">
        <v>79</v>
      </c>
      <c r="C32" s="16"/>
      <c r="D32" s="21"/>
      <c r="E32" s="21"/>
      <c r="F32" s="19">
        <v>1</v>
      </c>
      <c r="G32" s="21">
        <f>'Časový snímek'!J40</f>
        <v>0</v>
      </c>
      <c r="H32" s="21">
        <f t="shared" si="0"/>
        <v>0</v>
      </c>
      <c r="I32" s="21">
        <f t="shared" si="1"/>
        <v>0</v>
      </c>
    </row>
    <row r="33" spans="2:9">
      <c r="B33" s="16" t="s">
        <v>80</v>
      </c>
      <c r="C33" s="16"/>
      <c r="D33" s="21"/>
      <c r="E33" s="21"/>
      <c r="F33" s="19">
        <v>1</v>
      </c>
      <c r="G33" s="21">
        <f>'Časový snímek'!J41</f>
        <v>0</v>
      </c>
      <c r="H33" s="21">
        <f t="shared" si="0"/>
        <v>0</v>
      </c>
      <c r="I33" s="21">
        <f t="shared" si="1"/>
        <v>0</v>
      </c>
    </row>
    <row r="34" spans="2:9">
      <c r="B34" s="16" t="s">
        <v>81</v>
      </c>
      <c r="C34" s="16"/>
      <c r="D34" s="21"/>
      <c r="E34" s="21"/>
      <c r="F34" s="19">
        <v>1</v>
      </c>
      <c r="G34" s="21">
        <f>'Časový snímek'!J42</f>
        <v>0</v>
      </c>
      <c r="H34" s="21">
        <f t="shared" si="0"/>
        <v>0</v>
      </c>
      <c r="I34" s="21">
        <f t="shared" si="1"/>
        <v>0</v>
      </c>
    </row>
    <row r="35" spans="2:9">
      <c r="B35" s="16" t="s">
        <v>82</v>
      </c>
      <c r="C35" s="16"/>
      <c r="D35" s="21"/>
      <c r="E35" s="21"/>
      <c r="F35" s="19">
        <v>1</v>
      </c>
      <c r="G35" s="21">
        <f>'Časový snímek'!J43</f>
        <v>0</v>
      </c>
      <c r="H35" s="21">
        <f t="shared" si="0"/>
        <v>0</v>
      </c>
      <c r="I35" s="21">
        <f t="shared" si="1"/>
        <v>0</v>
      </c>
    </row>
    <row r="36" spans="2:9">
      <c r="B36" s="16" t="s">
        <v>83</v>
      </c>
      <c r="C36" s="16"/>
      <c r="D36" s="21"/>
      <c r="E36" s="21"/>
      <c r="F36" s="19">
        <v>1</v>
      </c>
      <c r="G36" s="21">
        <f>'Časový snímek'!J44</f>
        <v>0</v>
      </c>
      <c r="H36" s="21">
        <f t="shared" si="0"/>
        <v>0</v>
      </c>
      <c r="I36" s="21">
        <f t="shared" si="1"/>
        <v>0</v>
      </c>
    </row>
    <row r="37" spans="2:9">
      <c r="B37" s="16" t="s">
        <v>193</v>
      </c>
      <c r="C37" s="16"/>
      <c r="D37" s="21"/>
      <c r="E37" s="21"/>
      <c r="F37" s="19"/>
      <c r="G37" s="20"/>
      <c r="H37" s="21"/>
      <c r="I37" s="21"/>
    </row>
    <row r="38" spans="2:9">
      <c r="B38" s="16" t="s">
        <v>194</v>
      </c>
      <c r="C38" s="16"/>
      <c r="D38" s="21"/>
      <c r="E38" s="21"/>
      <c r="F38" s="19"/>
      <c r="G38" s="20"/>
      <c r="H38" s="21"/>
      <c r="I38" s="21"/>
    </row>
    <row r="39" spans="2:9">
      <c r="B39" s="16" t="s">
        <v>195</v>
      </c>
      <c r="C39" s="16"/>
      <c r="D39" s="21"/>
      <c r="E39" s="21"/>
      <c r="F39" s="19"/>
      <c r="G39" s="20"/>
      <c r="H39" s="21"/>
      <c r="I39" s="21"/>
    </row>
    <row r="40" spans="2:9">
      <c r="B40" s="16" t="s">
        <v>196</v>
      </c>
      <c r="C40" s="16"/>
      <c r="D40" s="18"/>
      <c r="E40" s="18"/>
      <c r="F40" s="19"/>
      <c r="G40" s="20"/>
      <c r="H40" s="21"/>
      <c r="I40" s="21"/>
    </row>
    <row r="41" spans="2:9">
      <c r="B41" s="16" t="s">
        <v>197</v>
      </c>
      <c r="C41" s="16"/>
      <c r="D41" s="18"/>
      <c r="E41" s="18"/>
      <c r="F41" s="19"/>
      <c r="G41" s="20"/>
      <c r="H41" s="21"/>
      <c r="I41" s="21"/>
    </row>
    <row r="42" spans="2:9">
      <c r="B42" s="16" t="s">
        <v>198</v>
      </c>
      <c r="C42" s="16" t="s">
        <v>139</v>
      </c>
      <c r="D42" s="18"/>
      <c r="E42" s="18"/>
      <c r="F42" s="19">
        <v>1</v>
      </c>
      <c r="G42" s="21">
        <v>30</v>
      </c>
      <c r="H42" s="21"/>
      <c r="I42" s="21"/>
    </row>
    <row r="43" spans="2:9" ht="20.25" customHeight="1">
      <c r="B43" s="16"/>
      <c r="C43" s="22" t="s">
        <v>199</v>
      </c>
      <c r="D43" s="1"/>
      <c r="E43" s="1"/>
      <c r="F43" s="1"/>
      <c r="G43" s="1"/>
      <c r="H43" s="23">
        <f>SUM(H18:H42)</f>
        <v>0</v>
      </c>
      <c r="I43" s="23">
        <f>SUM(I18:I42)</f>
        <v>0</v>
      </c>
    </row>
  </sheetData>
  <mergeCells count="15">
    <mergeCell ref="D14:E14"/>
    <mergeCell ref="D9:F9"/>
    <mergeCell ref="C1:F1"/>
    <mergeCell ref="D12:I12"/>
    <mergeCell ref="D3:I3"/>
    <mergeCell ref="H8:I8"/>
    <mergeCell ref="D8:F8"/>
    <mergeCell ref="H9:I9"/>
    <mergeCell ref="D4:G4"/>
    <mergeCell ref="D10:I10"/>
    <mergeCell ref="D13:F13"/>
    <mergeCell ref="C2:H2"/>
    <mergeCell ref="D5:G5"/>
    <mergeCell ref="D11:E11"/>
    <mergeCell ref="D6:G6"/>
  </mergeCells>
  <pageMargins left="0.18" right="0.17" top="0.51" bottom="0.28999999999999998" header="0.28999999999999998" footer="0.28999999999999998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9">
    <tabColor theme="4" tint="-0.249977111117893"/>
  </sheetPr>
  <dimension ref="B1:O43"/>
  <sheetViews>
    <sheetView workbookViewId="0"/>
  </sheetViews>
  <sheetFormatPr defaultRowHeight="13.2"/>
  <cols>
    <col min="1" max="1" width="1.44140625" customWidth="1"/>
    <col min="2" max="2" width="3.88671875" customWidth="1"/>
    <col min="3" max="3" width="36.44140625" customWidth="1"/>
    <col min="4" max="5" width="8" customWidth="1"/>
    <col min="6" max="6" width="10.5546875" customWidth="1"/>
    <col min="7" max="7" width="11" customWidth="1"/>
    <col min="8" max="9" width="10" customWidth="1"/>
  </cols>
  <sheetData>
    <row r="1" spans="2:15" ht="19.5" customHeight="1">
      <c r="B1" s="2"/>
      <c r="C1" s="519" t="s">
        <v>167</v>
      </c>
      <c r="D1" s="456"/>
      <c r="E1" s="456"/>
      <c r="F1" s="456"/>
      <c r="G1" s="3">
        <f>'Časový snímek'!D5</f>
        <v>0</v>
      </c>
      <c r="H1" s="2"/>
      <c r="I1" s="2"/>
    </row>
    <row r="2" spans="2:15" ht="15" customHeight="1">
      <c r="B2" s="4"/>
      <c r="C2" s="524" t="s">
        <v>168</v>
      </c>
      <c r="D2" s="525"/>
      <c r="E2" s="525"/>
      <c r="F2" s="525"/>
      <c r="G2" s="525"/>
      <c r="H2" s="525"/>
      <c r="I2" s="4"/>
    </row>
    <row r="3" spans="2:15" ht="26.25" customHeight="1">
      <c r="B3" s="5"/>
      <c r="C3" s="6" t="s">
        <v>1</v>
      </c>
      <c r="D3" s="520">
        <f>'Časový snímek'!D3</f>
        <v>0</v>
      </c>
      <c r="E3" s="521"/>
      <c r="F3" s="521"/>
      <c r="G3" s="521"/>
      <c r="H3" s="521"/>
      <c r="I3" s="521"/>
    </row>
    <row r="4" spans="2:15" ht="15" customHeight="1">
      <c r="B4" s="2"/>
      <c r="C4" s="7" t="s">
        <v>169</v>
      </c>
      <c r="D4" s="523" t="e">
        <f>#REF!</f>
        <v>#REF!</v>
      </c>
      <c r="E4" s="456"/>
      <c r="F4" s="456"/>
      <c r="G4" s="456"/>
      <c r="H4" s="8"/>
      <c r="I4" s="8"/>
      <c r="O4" s="34">
        <v>0.54935185185185187</v>
      </c>
    </row>
    <row r="5" spans="2:15" ht="15" customHeight="1">
      <c r="B5" s="2"/>
      <c r="C5" s="7" t="s">
        <v>170</v>
      </c>
      <c r="D5" s="518" t="s">
        <v>171</v>
      </c>
      <c r="E5" s="456"/>
      <c r="F5" s="456"/>
      <c r="G5" s="456"/>
      <c r="H5" s="8"/>
      <c r="I5" s="8"/>
      <c r="O5" s="34">
        <v>0.45961805555555563</v>
      </c>
    </row>
    <row r="6" spans="2:15" ht="15" customHeight="1">
      <c r="B6" s="2"/>
      <c r="C6" s="7" t="s">
        <v>172</v>
      </c>
      <c r="D6" s="526" t="s">
        <v>173</v>
      </c>
      <c r="E6" s="456"/>
      <c r="F6" s="456"/>
      <c r="G6" s="456"/>
      <c r="H6" s="8"/>
      <c r="I6" s="8"/>
      <c r="O6" s="34">
        <f>O4-O5</f>
        <v>8.9733796296296242E-2</v>
      </c>
    </row>
    <row r="7" spans="2:15" ht="15" customHeight="1">
      <c r="B7" s="2"/>
      <c r="C7" s="7" t="s">
        <v>174</v>
      </c>
      <c r="D7" s="9" t="s">
        <v>175</v>
      </c>
      <c r="E7" s="9"/>
      <c r="F7" s="9"/>
      <c r="G7" s="9"/>
      <c r="H7" s="8"/>
      <c r="I7" s="8"/>
    </row>
    <row r="8" spans="2:15" ht="29.25" customHeight="1">
      <c r="B8" s="2"/>
      <c r="C8" s="7" t="s">
        <v>200</v>
      </c>
      <c r="D8" s="518">
        <f>'Časový snímek'!D4</f>
        <v>0</v>
      </c>
      <c r="E8" s="456"/>
      <c r="F8" s="456"/>
      <c r="G8" s="10" t="s">
        <v>176</v>
      </c>
      <c r="H8" s="522"/>
      <c r="I8" s="456"/>
    </row>
    <row r="9" spans="2:15" ht="15" customHeight="1">
      <c r="B9" s="2"/>
      <c r="C9" s="7" t="s">
        <v>177</v>
      </c>
      <c r="D9" s="518"/>
      <c r="E9" s="456"/>
      <c r="F9" s="456"/>
      <c r="G9" s="11" t="s">
        <v>178</v>
      </c>
      <c r="H9" s="522"/>
      <c r="I9" s="456"/>
    </row>
    <row r="10" spans="2:15" ht="15" customHeight="1">
      <c r="B10" s="2"/>
      <c r="C10" s="7" t="s">
        <v>179</v>
      </c>
      <c r="D10" s="518"/>
      <c r="E10" s="456"/>
      <c r="F10" s="456"/>
      <c r="G10" s="456"/>
      <c r="H10" s="456"/>
      <c r="I10" s="456"/>
    </row>
    <row r="11" spans="2:15" ht="15" customHeight="1">
      <c r="B11" s="2"/>
      <c r="C11" s="7" t="s">
        <v>180</v>
      </c>
      <c r="D11" s="522"/>
      <c r="E11" s="456"/>
      <c r="F11" s="8"/>
      <c r="G11" s="10" t="s">
        <v>181</v>
      </c>
      <c r="H11" s="8"/>
      <c r="I11" s="9"/>
    </row>
    <row r="12" spans="2:15" ht="29.25" customHeight="1">
      <c r="B12" s="2"/>
      <c r="C12" s="7" t="s">
        <v>182</v>
      </c>
      <c r="D12" s="518"/>
      <c r="E12" s="456"/>
      <c r="F12" s="456"/>
      <c r="G12" s="456"/>
      <c r="H12" s="456"/>
      <c r="I12" s="456"/>
    </row>
    <row r="13" spans="2:15" ht="15" customHeight="1">
      <c r="B13" s="2"/>
      <c r="C13" s="12" t="s">
        <v>20</v>
      </c>
      <c r="D13" s="518" t="str">
        <f>'Časový snímek'!D12</f>
        <v>daisdijakl</v>
      </c>
      <c r="E13" s="456"/>
      <c r="F13" s="456"/>
      <c r="G13" s="31" t="s">
        <v>183</v>
      </c>
      <c r="H13" s="8"/>
      <c r="I13" s="13"/>
    </row>
    <row r="14" spans="2:15" ht="15" customHeight="1">
      <c r="B14" s="2"/>
      <c r="C14" s="12" t="s">
        <v>34</v>
      </c>
      <c r="D14" s="518" t="s">
        <v>184</v>
      </c>
      <c r="E14" s="456"/>
      <c r="F14" s="9"/>
      <c r="G14" s="8"/>
      <c r="H14" s="8"/>
      <c r="I14" s="8"/>
    </row>
    <row r="15" spans="2:15" ht="15" customHeight="1">
      <c r="C15" s="14"/>
      <c r="D15" s="15"/>
      <c r="E15" s="15"/>
      <c r="F15" s="15"/>
      <c r="G15" s="15"/>
      <c r="H15" s="15"/>
      <c r="I15" s="15"/>
    </row>
    <row r="16" spans="2:15" ht="48.75" customHeight="1">
      <c r="B16" s="33"/>
      <c r="C16" s="32" t="s">
        <v>132</v>
      </c>
      <c r="D16" s="32" t="s">
        <v>162</v>
      </c>
      <c r="E16" s="32" t="s">
        <v>185</v>
      </c>
      <c r="F16" s="32" t="s">
        <v>186</v>
      </c>
      <c r="G16" s="32" t="s">
        <v>187</v>
      </c>
      <c r="H16" s="32" t="s">
        <v>188</v>
      </c>
      <c r="I16" s="32" t="s">
        <v>189</v>
      </c>
      <c r="J16" s="17"/>
    </row>
    <row r="17" spans="2:9">
      <c r="B17" s="16"/>
      <c r="C17" s="16"/>
      <c r="D17" s="16"/>
      <c r="E17" s="16"/>
      <c r="F17" s="16"/>
      <c r="G17" s="16"/>
      <c r="H17" s="16"/>
      <c r="I17" s="16"/>
    </row>
    <row r="18" spans="2:9">
      <c r="B18" s="16" t="s">
        <v>62</v>
      </c>
      <c r="C18" s="16" t="str">
        <f>'Časový snímek'!C26</f>
        <v>Zakládání</v>
      </c>
      <c r="D18" s="21" t="e">
        <f>#REF!</f>
        <v>#REF!</v>
      </c>
      <c r="E18" s="21" t="e">
        <f>#REF!</f>
        <v>#REF!</v>
      </c>
      <c r="F18" s="19">
        <v>1</v>
      </c>
      <c r="G18" s="86">
        <v>223</v>
      </c>
      <c r="H18" s="21" t="e">
        <f t="shared" ref="H18:H36" si="0">PRODUCT(D18,G18)</f>
        <v>#REF!</v>
      </c>
      <c r="I18" s="21" t="e">
        <f t="shared" ref="I18:I36" si="1">PRODUCT(E18,G18)</f>
        <v>#REF!</v>
      </c>
    </row>
    <row r="19" spans="2:9">
      <c r="B19" s="16" t="s">
        <v>64</v>
      </c>
      <c r="C19" s="16" t="str">
        <f>'Časový snímek'!C27</f>
        <v>Bezpečnostní přestávka</v>
      </c>
      <c r="D19" s="21">
        <v>0</v>
      </c>
      <c r="E19" s="21">
        <v>0</v>
      </c>
      <c r="F19" s="19">
        <v>1</v>
      </c>
      <c r="G19" s="21">
        <f>'Časový snímek'!J27</f>
        <v>0</v>
      </c>
      <c r="H19" s="21">
        <f t="shared" si="0"/>
        <v>0</v>
      </c>
      <c r="I19" s="21">
        <f t="shared" si="1"/>
        <v>0</v>
      </c>
    </row>
    <row r="20" spans="2:9">
      <c r="B20" s="16" t="s">
        <v>66</v>
      </c>
      <c r="C20" s="16" t="str">
        <f>'Časový snímek'!C28</f>
        <v>Přestávka na jídlo a oddech</v>
      </c>
      <c r="D20" s="21" t="e">
        <f>#REF!</f>
        <v>#REF!</v>
      </c>
      <c r="E20" s="21" t="e">
        <f>#REF!</f>
        <v>#REF!</v>
      </c>
      <c r="F20" s="19">
        <v>1</v>
      </c>
      <c r="G20" s="21">
        <f>'Časový snímek'!J28</f>
        <v>0</v>
      </c>
      <c r="H20" s="21" t="e">
        <f t="shared" si="0"/>
        <v>#REF!</v>
      </c>
      <c r="I20" s="21" t="e">
        <f t="shared" si="1"/>
        <v>#REF!</v>
      </c>
    </row>
    <row r="21" spans="2:9">
      <c r="B21" s="16" t="s">
        <v>68</v>
      </c>
      <c r="C21" s="16"/>
      <c r="D21" s="21" t="e">
        <f>#REF!</f>
        <v>#REF!</v>
      </c>
      <c r="E21" s="21" t="e">
        <f>#REF!</f>
        <v>#REF!</v>
      </c>
      <c r="F21" s="19">
        <v>1</v>
      </c>
      <c r="G21" s="21">
        <f>'Časový snímek'!J29</f>
        <v>0</v>
      </c>
      <c r="H21" s="21" t="e">
        <f t="shared" si="0"/>
        <v>#REF!</v>
      </c>
      <c r="I21" s="21" t="e">
        <f t="shared" si="1"/>
        <v>#REF!</v>
      </c>
    </row>
    <row r="22" spans="2:9">
      <c r="B22" s="16" t="s">
        <v>69</v>
      </c>
      <c r="C22" s="16"/>
      <c r="D22" s="21" t="e">
        <f>#REF!</f>
        <v>#REF!</v>
      </c>
      <c r="E22" s="21" t="e">
        <f>#REF!</f>
        <v>#REF!</v>
      </c>
      <c r="F22" s="19">
        <v>1</v>
      </c>
      <c r="G22" s="21">
        <f>'Časový snímek'!J30</f>
        <v>0</v>
      </c>
      <c r="H22" s="21" t="e">
        <f t="shared" si="0"/>
        <v>#REF!</v>
      </c>
      <c r="I22" s="21" t="e">
        <f t="shared" si="1"/>
        <v>#REF!</v>
      </c>
    </row>
    <row r="23" spans="2:9">
      <c r="B23" s="16" t="s">
        <v>70</v>
      </c>
      <c r="C23" s="16"/>
      <c r="D23" s="21" t="e">
        <f>#REF!</f>
        <v>#REF!</v>
      </c>
      <c r="E23" s="21" t="e">
        <f>#REF!</f>
        <v>#REF!</v>
      </c>
      <c r="F23" s="19">
        <v>1</v>
      </c>
      <c r="G23" s="21">
        <f>'Časový snímek'!J31</f>
        <v>0</v>
      </c>
      <c r="H23" s="21" t="e">
        <f t="shared" si="0"/>
        <v>#REF!</v>
      </c>
      <c r="I23" s="21" t="e">
        <f t="shared" si="1"/>
        <v>#REF!</v>
      </c>
    </row>
    <row r="24" spans="2:9">
      <c r="B24" s="16" t="s">
        <v>71</v>
      </c>
      <c r="C24" s="16"/>
      <c r="D24" s="21" t="e">
        <f>#REF!</f>
        <v>#REF!</v>
      </c>
      <c r="E24" s="21" t="e">
        <f>#REF!</f>
        <v>#REF!</v>
      </c>
      <c r="F24" s="19">
        <v>1</v>
      </c>
      <c r="G24" s="21">
        <f>'Časový snímek'!J32</f>
        <v>0</v>
      </c>
      <c r="H24" s="21" t="e">
        <f t="shared" si="0"/>
        <v>#REF!</v>
      </c>
      <c r="I24" s="21" t="e">
        <f t="shared" si="1"/>
        <v>#REF!</v>
      </c>
    </row>
    <row r="25" spans="2:9">
      <c r="B25" s="16" t="s">
        <v>72</v>
      </c>
      <c r="C25" s="16"/>
      <c r="D25" s="21" t="e">
        <f>#REF!</f>
        <v>#REF!</v>
      </c>
      <c r="E25" s="21" t="e">
        <f>#REF!</f>
        <v>#REF!</v>
      </c>
      <c r="F25" s="19">
        <v>1</v>
      </c>
      <c r="G25" s="21">
        <f>'Časový snímek'!J33</f>
        <v>0</v>
      </c>
      <c r="H25" s="21" t="e">
        <f t="shared" si="0"/>
        <v>#REF!</v>
      </c>
      <c r="I25" s="21" t="e">
        <f t="shared" si="1"/>
        <v>#REF!</v>
      </c>
    </row>
    <row r="26" spans="2:9">
      <c r="B26" s="16" t="s">
        <v>73</v>
      </c>
      <c r="C26" s="16"/>
      <c r="D26" s="21" t="e">
        <f>#REF!</f>
        <v>#REF!</v>
      </c>
      <c r="E26" s="21" t="e">
        <f>#REF!</f>
        <v>#REF!</v>
      </c>
      <c r="F26" s="19">
        <v>1</v>
      </c>
      <c r="G26" s="21">
        <f>'Časový snímek'!J34</f>
        <v>0</v>
      </c>
      <c r="H26" s="21" t="e">
        <f t="shared" si="0"/>
        <v>#REF!</v>
      </c>
      <c r="I26" s="21" t="e">
        <f t="shared" si="1"/>
        <v>#REF!</v>
      </c>
    </row>
    <row r="27" spans="2:9">
      <c r="B27" s="16" t="s">
        <v>74</v>
      </c>
      <c r="C27" s="16"/>
      <c r="D27" s="21" t="e">
        <f>#REF!</f>
        <v>#REF!</v>
      </c>
      <c r="E27" s="21" t="e">
        <f>#REF!</f>
        <v>#REF!</v>
      </c>
      <c r="F27" s="19">
        <v>1</v>
      </c>
      <c r="G27" s="21">
        <f>'Časový snímek'!J35</f>
        <v>0</v>
      </c>
      <c r="H27" s="21" t="e">
        <f t="shared" si="0"/>
        <v>#REF!</v>
      </c>
      <c r="I27" s="21" t="e">
        <f t="shared" si="1"/>
        <v>#REF!</v>
      </c>
    </row>
    <row r="28" spans="2:9">
      <c r="B28" s="16" t="s">
        <v>75</v>
      </c>
      <c r="C28" s="16"/>
      <c r="D28" s="21" t="e">
        <f>#REF!</f>
        <v>#REF!</v>
      </c>
      <c r="E28" s="21" t="e">
        <f>#REF!</f>
        <v>#REF!</v>
      </c>
      <c r="F28" s="19">
        <v>1</v>
      </c>
      <c r="G28" s="21">
        <f>'Časový snímek'!J36</f>
        <v>0</v>
      </c>
      <c r="H28" s="21" t="e">
        <f t="shared" si="0"/>
        <v>#REF!</v>
      </c>
      <c r="I28" s="21" t="e">
        <f t="shared" si="1"/>
        <v>#REF!</v>
      </c>
    </row>
    <row r="29" spans="2:9">
      <c r="B29" s="16" t="s">
        <v>76</v>
      </c>
      <c r="C29" s="16"/>
      <c r="D29" s="21" t="e">
        <f>#REF!</f>
        <v>#REF!</v>
      </c>
      <c r="E29" s="21" t="e">
        <f>#REF!</f>
        <v>#REF!</v>
      </c>
      <c r="F29" s="19">
        <v>1</v>
      </c>
      <c r="G29" s="21">
        <f>'Časový snímek'!J37</f>
        <v>0</v>
      </c>
      <c r="H29" s="21" t="e">
        <f t="shared" si="0"/>
        <v>#REF!</v>
      </c>
      <c r="I29" s="21" t="e">
        <f t="shared" si="1"/>
        <v>#REF!</v>
      </c>
    </row>
    <row r="30" spans="2:9">
      <c r="B30" s="16" t="s">
        <v>77</v>
      </c>
      <c r="C30" s="16"/>
      <c r="D30" s="21" t="e">
        <f>#REF!</f>
        <v>#REF!</v>
      </c>
      <c r="E30" s="21" t="e">
        <f>#REF!</f>
        <v>#REF!</v>
      </c>
      <c r="F30" s="19">
        <v>1</v>
      </c>
      <c r="G30" s="21">
        <f>'Časový snímek'!J38</f>
        <v>0</v>
      </c>
      <c r="H30" s="21" t="e">
        <f t="shared" si="0"/>
        <v>#REF!</v>
      </c>
      <c r="I30" s="21" t="e">
        <f t="shared" si="1"/>
        <v>#REF!</v>
      </c>
    </row>
    <row r="31" spans="2:9">
      <c r="B31" s="16" t="s">
        <v>78</v>
      </c>
      <c r="C31" s="16"/>
      <c r="D31" s="21" t="e">
        <f>#REF!</f>
        <v>#REF!</v>
      </c>
      <c r="E31" s="21" t="e">
        <f>#REF!</f>
        <v>#REF!</v>
      </c>
      <c r="F31" s="19">
        <v>1</v>
      </c>
      <c r="G31" s="21">
        <f>'Časový snímek'!J39</f>
        <v>0</v>
      </c>
      <c r="H31" s="21" t="e">
        <f t="shared" si="0"/>
        <v>#REF!</v>
      </c>
      <c r="I31" s="21" t="e">
        <f t="shared" si="1"/>
        <v>#REF!</v>
      </c>
    </row>
    <row r="32" spans="2:9">
      <c r="B32" s="16" t="s">
        <v>79</v>
      </c>
      <c r="C32" s="16"/>
      <c r="D32" s="21" t="e">
        <f>#REF!</f>
        <v>#REF!</v>
      </c>
      <c r="E32" s="21" t="e">
        <f>#REF!</f>
        <v>#REF!</v>
      </c>
      <c r="F32" s="19">
        <v>1</v>
      </c>
      <c r="G32" s="21">
        <f>'Časový snímek'!J40</f>
        <v>0</v>
      </c>
      <c r="H32" s="21" t="e">
        <f t="shared" si="0"/>
        <v>#REF!</v>
      </c>
      <c r="I32" s="21" t="e">
        <f t="shared" si="1"/>
        <v>#REF!</v>
      </c>
    </row>
    <row r="33" spans="2:9">
      <c r="B33" s="16" t="s">
        <v>80</v>
      </c>
      <c r="C33" s="16"/>
      <c r="D33" s="21" t="e">
        <f>#REF!</f>
        <v>#REF!</v>
      </c>
      <c r="E33" s="21" t="e">
        <f>#REF!</f>
        <v>#REF!</v>
      </c>
      <c r="F33" s="19">
        <v>1</v>
      </c>
      <c r="G33" s="21">
        <f>'Časový snímek'!J41</f>
        <v>0</v>
      </c>
      <c r="H33" s="21" t="e">
        <f t="shared" si="0"/>
        <v>#REF!</v>
      </c>
      <c r="I33" s="21" t="e">
        <f t="shared" si="1"/>
        <v>#REF!</v>
      </c>
    </row>
    <row r="34" spans="2:9">
      <c r="B34" s="16" t="s">
        <v>81</v>
      </c>
      <c r="C34" s="16"/>
      <c r="D34" s="21" t="e">
        <f>#REF!</f>
        <v>#REF!</v>
      </c>
      <c r="E34" s="21" t="e">
        <f>#REF!</f>
        <v>#REF!</v>
      </c>
      <c r="F34" s="19">
        <v>1</v>
      </c>
      <c r="G34" s="21">
        <f>'Časový snímek'!J42</f>
        <v>0</v>
      </c>
      <c r="H34" s="21" t="e">
        <f t="shared" si="0"/>
        <v>#REF!</v>
      </c>
      <c r="I34" s="21" t="e">
        <f t="shared" si="1"/>
        <v>#REF!</v>
      </c>
    </row>
    <row r="35" spans="2:9">
      <c r="B35" s="16" t="s">
        <v>82</v>
      </c>
      <c r="C35" s="16"/>
      <c r="D35" s="21" t="e">
        <f>#REF!</f>
        <v>#REF!</v>
      </c>
      <c r="E35" s="21" t="e">
        <f>#REF!</f>
        <v>#REF!</v>
      </c>
      <c r="F35" s="19">
        <v>1</v>
      </c>
      <c r="G35" s="21">
        <f>'Časový snímek'!J43</f>
        <v>0</v>
      </c>
      <c r="H35" s="21" t="e">
        <f t="shared" si="0"/>
        <v>#REF!</v>
      </c>
      <c r="I35" s="21" t="e">
        <f t="shared" si="1"/>
        <v>#REF!</v>
      </c>
    </row>
    <row r="36" spans="2:9">
      <c r="B36" s="16" t="s">
        <v>83</v>
      </c>
      <c r="C36" s="16"/>
      <c r="D36" s="21" t="e">
        <f>#REF!</f>
        <v>#REF!</v>
      </c>
      <c r="E36" s="21" t="e">
        <f>#REF!</f>
        <v>#REF!</v>
      </c>
      <c r="F36" s="19">
        <v>1</v>
      </c>
      <c r="G36" s="21">
        <f>'Časový snímek'!J44</f>
        <v>0</v>
      </c>
      <c r="H36" s="21" t="e">
        <f t="shared" si="0"/>
        <v>#REF!</v>
      </c>
      <c r="I36" s="21" t="e">
        <f t="shared" si="1"/>
        <v>#REF!</v>
      </c>
    </row>
    <row r="37" spans="2:9">
      <c r="B37" s="16" t="s">
        <v>193</v>
      </c>
      <c r="C37" s="16"/>
      <c r="D37" s="21"/>
      <c r="E37" s="21"/>
      <c r="F37" s="19"/>
      <c r="G37" s="20"/>
      <c r="H37" s="21"/>
      <c r="I37" s="21"/>
    </row>
    <row r="38" spans="2:9">
      <c r="B38" s="16" t="s">
        <v>194</v>
      </c>
      <c r="C38" s="16"/>
      <c r="D38" s="21"/>
      <c r="E38" s="21"/>
      <c r="F38" s="19"/>
      <c r="G38" s="20"/>
      <c r="H38" s="21"/>
      <c r="I38" s="21"/>
    </row>
    <row r="39" spans="2:9">
      <c r="B39" s="16" t="s">
        <v>195</v>
      </c>
      <c r="C39" s="16"/>
      <c r="D39" s="21"/>
      <c r="E39" s="21"/>
      <c r="F39" s="19"/>
      <c r="G39" s="20"/>
      <c r="H39" s="21"/>
      <c r="I39" s="21"/>
    </row>
    <row r="40" spans="2:9">
      <c r="B40" s="16" t="s">
        <v>196</v>
      </c>
      <c r="C40" s="16"/>
      <c r="D40" s="21"/>
      <c r="E40" s="21"/>
      <c r="F40" s="19"/>
      <c r="G40" s="20"/>
      <c r="H40" s="21"/>
      <c r="I40" s="21"/>
    </row>
    <row r="41" spans="2:9">
      <c r="B41" s="16" t="s">
        <v>197</v>
      </c>
      <c r="C41" s="16"/>
      <c r="D41" s="21"/>
      <c r="E41" s="21"/>
      <c r="F41" s="19"/>
      <c r="G41" s="20"/>
      <c r="H41" s="21"/>
      <c r="I41" s="21"/>
    </row>
    <row r="42" spans="2:9">
      <c r="B42" s="16" t="s">
        <v>198</v>
      </c>
      <c r="C42" s="16" t="s">
        <v>139</v>
      </c>
      <c r="D42" s="21"/>
      <c r="E42" s="21"/>
      <c r="F42" s="19">
        <v>1</v>
      </c>
      <c r="G42" s="20">
        <v>30</v>
      </c>
      <c r="H42" s="21"/>
      <c r="I42" s="21"/>
    </row>
    <row r="43" spans="2:9" ht="20.25" customHeight="1">
      <c r="B43" s="16"/>
      <c r="C43" s="22" t="s">
        <v>199</v>
      </c>
      <c r="D43" s="1"/>
      <c r="E43" s="1"/>
      <c r="F43" s="1"/>
      <c r="G43" s="1"/>
      <c r="H43" s="23" t="e">
        <f>SUM(H18:H42)</f>
        <v>#REF!</v>
      </c>
      <c r="I43" s="23" t="e">
        <f>SUM(I18:I42)</f>
        <v>#REF!</v>
      </c>
    </row>
  </sheetData>
  <mergeCells count="15">
    <mergeCell ref="D14:E14"/>
    <mergeCell ref="D9:F9"/>
    <mergeCell ref="C1:F1"/>
    <mergeCell ref="D12:I12"/>
    <mergeCell ref="D3:I3"/>
    <mergeCell ref="H8:I8"/>
    <mergeCell ref="D8:F8"/>
    <mergeCell ref="H9:I9"/>
    <mergeCell ref="D4:G4"/>
    <mergeCell ref="D10:I10"/>
    <mergeCell ref="D13:F13"/>
    <mergeCell ref="C2:H2"/>
    <mergeCell ref="D5:G5"/>
    <mergeCell ref="D11:E11"/>
    <mergeCell ref="D6:G6"/>
  </mergeCells>
  <pageMargins left="0.18" right="0.17" top="0.51" bottom="0.28999999999999998" header="0.28999999999999998" footer="0.28999999999999998"/>
  <pageSetup paperSize="9" orientation="portrait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st10">
    <tabColor rgb="FF7030A0"/>
  </sheetPr>
  <dimension ref="A2:E26"/>
  <sheetViews>
    <sheetView workbookViewId="0"/>
  </sheetViews>
  <sheetFormatPr defaultRowHeight="13.2"/>
  <cols>
    <col min="1" max="2" width="1.5546875" style="24" customWidth="1"/>
    <col min="3" max="3" width="12.5546875" style="25" customWidth="1"/>
    <col min="4" max="256" width="9.109375" style="25" customWidth="1"/>
    <col min="257" max="258" width="1.5546875" style="25" customWidth="1"/>
    <col min="259" max="259" width="12.5546875" style="25" customWidth="1"/>
    <col min="260" max="512" width="9.109375" style="25" customWidth="1"/>
    <col min="513" max="514" width="1.5546875" style="25" customWidth="1"/>
    <col min="515" max="515" width="12.5546875" style="25" customWidth="1"/>
    <col min="516" max="768" width="9.109375" style="25" customWidth="1"/>
    <col min="769" max="770" width="1.5546875" style="25" customWidth="1"/>
    <col min="771" max="771" width="12.5546875" style="25" customWidth="1"/>
    <col min="772" max="1024" width="9.109375" style="25" customWidth="1"/>
    <col min="1025" max="1026" width="1.5546875" style="25" customWidth="1"/>
    <col min="1027" max="1027" width="12.5546875" style="25" customWidth="1"/>
    <col min="1028" max="1280" width="9.109375" style="25" customWidth="1"/>
    <col min="1281" max="1282" width="1.5546875" style="25" customWidth="1"/>
    <col min="1283" max="1283" width="12.5546875" style="25" customWidth="1"/>
    <col min="1284" max="1536" width="9.109375" style="25" customWidth="1"/>
    <col min="1537" max="1538" width="1.5546875" style="25" customWidth="1"/>
    <col min="1539" max="1539" width="12.5546875" style="25" customWidth="1"/>
    <col min="1540" max="1792" width="9.109375" style="25" customWidth="1"/>
    <col min="1793" max="1794" width="1.5546875" style="25" customWidth="1"/>
    <col min="1795" max="1795" width="12.5546875" style="25" customWidth="1"/>
    <col min="1796" max="2048" width="9.109375" style="25" customWidth="1"/>
    <col min="2049" max="2050" width="1.5546875" style="25" customWidth="1"/>
    <col min="2051" max="2051" width="12.5546875" style="25" customWidth="1"/>
    <col min="2052" max="2304" width="9.109375" style="25" customWidth="1"/>
    <col min="2305" max="2306" width="1.5546875" style="25" customWidth="1"/>
    <col min="2307" max="2307" width="12.5546875" style="25" customWidth="1"/>
    <col min="2308" max="2560" width="9.109375" style="25" customWidth="1"/>
    <col min="2561" max="2562" width="1.5546875" style="25" customWidth="1"/>
    <col min="2563" max="2563" width="12.5546875" style="25" customWidth="1"/>
    <col min="2564" max="2816" width="9.109375" style="25" customWidth="1"/>
    <col min="2817" max="2818" width="1.5546875" style="25" customWidth="1"/>
    <col min="2819" max="2819" width="12.5546875" style="25" customWidth="1"/>
    <col min="2820" max="3072" width="9.109375" style="25" customWidth="1"/>
    <col min="3073" max="3074" width="1.5546875" style="25" customWidth="1"/>
    <col min="3075" max="3075" width="12.5546875" style="25" customWidth="1"/>
    <col min="3076" max="3328" width="9.109375" style="25" customWidth="1"/>
    <col min="3329" max="3330" width="1.5546875" style="25" customWidth="1"/>
    <col min="3331" max="3331" width="12.5546875" style="25" customWidth="1"/>
    <col min="3332" max="3584" width="9.109375" style="25" customWidth="1"/>
    <col min="3585" max="3586" width="1.5546875" style="25" customWidth="1"/>
    <col min="3587" max="3587" width="12.5546875" style="25" customWidth="1"/>
    <col min="3588" max="3840" width="9.109375" style="25" customWidth="1"/>
    <col min="3841" max="3842" width="1.5546875" style="25" customWidth="1"/>
    <col min="3843" max="3843" width="12.5546875" style="25" customWidth="1"/>
    <col min="3844" max="4096" width="9.109375" style="25" customWidth="1"/>
    <col min="4097" max="4098" width="1.5546875" style="25" customWidth="1"/>
    <col min="4099" max="4099" width="12.5546875" style="25" customWidth="1"/>
    <col min="4100" max="4352" width="9.109375" style="25" customWidth="1"/>
    <col min="4353" max="4354" width="1.5546875" style="25" customWidth="1"/>
    <col min="4355" max="4355" width="12.5546875" style="25" customWidth="1"/>
    <col min="4356" max="4608" width="9.109375" style="25" customWidth="1"/>
    <col min="4609" max="4610" width="1.5546875" style="25" customWidth="1"/>
    <col min="4611" max="4611" width="12.5546875" style="25" customWidth="1"/>
    <col min="4612" max="4864" width="9.109375" style="25" customWidth="1"/>
    <col min="4865" max="4866" width="1.5546875" style="25" customWidth="1"/>
    <col min="4867" max="4867" width="12.5546875" style="25" customWidth="1"/>
    <col min="4868" max="5120" width="9.109375" style="25" customWidth="1"/>
    <col min="5121" max="5122" width="1.5546875" style="25" customWidth="1"/>
    <col min="5123" max="5123" width="12.5546875" style="25" customWidth="1"/>
    <col min="5124" max="5376" width="9.109375" style="25" customWidth="1"/>
    <col min="5377" max="5378" width="1.5546875" style="25" customWidth="1"/>
    <col min="5379" max="5379" width="12.5546875" style="25" customWidth="1"/>
    <col min="5380" max="5632" width="9.109375" style="25" customWidth="1"/>
    <col min="5633" max="5634" width="1.5546875" style="25" customWidth="1"/>
    <col min="5635" max="5635" width="12.5546875" style="25" customWidth="1"/>
    <col min="5636" max="5888" width="9.109375" style="25" customWidth="1"/>
    <col min="5889" max="5890" width="1.5546875" style="25" customWidth="1"/>
    <col min="5891" max="5891" width="12.5546875" style="25" customWidth="1"/>
    <col min="5892" max="6144" width="9.109375" style="25" customWidth="1"/>
    <col min="6145" max="6146" width="1.5546875" style="25" customWidth="1"/>
    <col min="6147" max="6147" width="12.5546875" style="25" customWidth="1"/>
    <col min="6148" max="6400" width="9.109375" style="25" customWidth="1"/>
    <col min="6401" max="6402" width="1.5546875" style="25" customWidth="1"/>
    <col min="6403" max="6403" width="12.5546875" style="25" customWidth="1"/>
    <col min="6404" max="6656" width="9.109375" style="25" customWidth="1"/>
    <col min="6657" max="6658" width="1.5546875" style="25" customWidth="1"/>
    <col min="6659" max="6659" width="12.5546875" style="25" customWidth="1"/>
    <col min="6660" max="6912" width="9.109375" style="25" customWidth="1"/>
    <col min="6913" max="6914" width="1.5546875" style="25" customWidth="1"/>
    <col min="6915" max="6915" width="12.5546875" style="25" customWidth="1"/>
    <col min="6916" max="7168" width="9.109375" style="25" customWidth="1"/>
    <col min="7169" max="7170" width="1.5546875" style="25" customWidth="1"/>
    <col min="7171" max="7171" width="12.5546875" style="25" customWidth="1"/>
    <col min="7172" max="7424" width="9.109375" style="25" customWidth="1"/>
    <col min="7425" max="7426" width="1.5546875" style="25" customWidth="1"/>
    <col min="7427" max="7427" width="12.5546875" style="25" customWidth="1"/>
    <col min="7428" max="7680" width="9.109375" style="25" customWidth="1"/>
    <col min="7681" max="7682" width="1.5546875" style="25" customWidth="1"/>
    <col min="7683" max="7683" width="12.5546875" style="25" customWidth="1"/>
    <col min="7684" max="7936" width="9.109375" style="25" customWidth="1"/>
    <col min="7937" max="7938" width="1.5546875" style="25" customWidth="1"/>
    <col min="7939" max="7939" width="12.5546875" style="25" customWidth="1"/>
    <col min="7940" max="8192" width="9.109375" style="25" customWidth="1"/>
    <col min="8193" max="8194" width="1.5546875" style="25" customWidth="1"/>
    <col min="8195" max="8195" width="12.5546875" style="25" customWidth="1"/>
    <col min="8196" max="8448" width="9.109375" style="25" customWidth="1"/>
    <col min="8449" max="8450" width="1.5546875" style="25" customWidth="1"/>
    <col min="8451" max="8451" width="12.5546875" style="25" customWidth="1"/>
    <col min="8452" max="8704" width="9.109375" style="25" customWidth="1"/>
    <col min="8705" max="8706" width="1.5546875" style="25" customWidth="1"/>
    <col min="8707" max="8707" width="12.5546875" style="25" customWidth="1"/>
    <col min="8708" max="8960" width="9.109375" style="25" customWidth="1"/>
    <col min="8961" max="8962" width="1.5546875" style="25" customWidth="1"/>
    <col min="8963" max="8963" width="12.5546875" style="25" customWidth="1"/>
    <col min="8964" max="9216" width="9.109375" style="25" customWidth="1"/>
    <col min="9217" max="9218" width="1.5546875" style="25" customWidth="1"/>
    <col min="9219" max="9219" width="12.5546875" style="25" customWidth="1"/>
    <col min="9220" max="9472" width="9.109375" style="25" customWidth="1"/>
    <col min="9473" max="9474" width="1.5546875" style="25" customWidth="1"/>
    <col min="9475" max="9475" width="12.5546875" style="25" customWidth="1"/>
    <col min="9476" max="9728" width="9.109375" style="25" customWidth="1"/>
    <col min="9729" max="9730" width="1.5546875" style="25" customWidth="1"/>
    <col min="9731" max="9731" width="12.5546875" style="25" customWidth="1"/>
    <col min="9732" max="9984" width="9.109375" style="25" customWidth="1"/>
    <col min="9985" max="9986" width="1.5546875" style="25" customWidth="1"/>
    <col min="9987" max="9987" width="12.5546875" style="25" customWidth="1"/>
    <col min="9988" max="10240" width="9.109375" style="25" customWidth="1"/>
    <col min="10241" max="10242" width="1.5546875" style="25" customWidth="1"/>
    <col min="10243" max="10243" width="12.5546875" style="25" customWidth="1"/>
    <col min="10244" max="10496" width="9.109375" style="25" customWidth="1"/>
    <col min="10497" max="10498" width="1.5546875" style="25" customWidth="1"/>
    <col min="10499" max="10499" width="12.5546875" style="25" customWidth="1"/>
    <col min="10500" max="10752" width="9.109375" style="25" customWidth="1"/>
    <col min="10753" max="10754" width="1.5546875" style="25" customWidth="1"/>
    <col min="10755" max="10755" width="12.5546875" style="25" customWidth="1"/>
    <col min="10756" max="11008" width="9.109375" style="25" customWidth="1"/>
    <col min="11009" max="11010" width="1.5546875" style="25" customWidth="1"/>
    <col min="11011" max="11011" width="12.5546875" style="25" customWidth="1"/>
    <col min="11012" max="11264" width="9.109375" style="25" customWidth="1"/>
    <col min="11265" max="11266" width="1.5546875" style="25" customWidth="1"/>
    <col min="11267" max="11267" width="12.5546875" style="25" customWidth="1"/>
    <col min="11268" max="11520" width="9.109375" style="25" customWidth="1"/>
    <col min="11521" max="11522" width="1.5546875" style="25" customWidth="1"/>
    <col min="11523" max="11523" width="12.5546875" style="25" customWidth="1"/>
    <col min="11524" max="11776" width="9.109375" style="25" customWidth="1"/>
    <col min="11777" max="11778" width="1.5546875" style="25" customWidth="1"/>
    <col min="11779" max="11779" width="12.5546875" style="25" customWidth="1"/>
    <col min="11780" max="12032" width="9.109375" style="25" customWidth="1"/>
    <col min="12033" max="12034" width="1.5546875" style="25" customWidth="1"/>
    <col min="12035" max="12035" width="12.5546875" style="25" customWidth="1"/>
    <col min="12036" max="12288" width="9.109375" style="25" customWidth="1"/>
    <col min="12289" max="12290" width="1.5546875" style="25" customWidth="1"/>
    <col min="12291" max="12291" width="12.5546875" style="25" customWidth="1"/>
    <col min="12292" max="12544" width="9.109375" style="25" customWidth="1"/>
    <col min="12545" max="12546" width="1.5546875" style="25" customWidth="1"/>
    <col min="12547" max="12547" width="12.5546875" style="25" customWidth="1"/>
    <col min="12548" max="12800" width="9.109375" style="25" customWidth="1"/>
    <col min="12801" max="12802" width="1.5546875" style="25" customWidth="1"/>
    <col min="12803" max="12803" width="12.5546875" style="25" customWidth="1"/>
    <col min="12804" max="13056" width="9.109375" style="25" customWidth="1"/>
    <col min="13057" max="13058" width="1.5546875" style="25" customWidth="1"/>
    <col min="13059" max="13059" width="12.5546875" style="25" customWidth="1"/>
    <col min="13060" max="13312" width="9.109375" style="25" customWidth="1"/>
    <col min="13313" max="13314" width="1.5546875" style="25" customWidth="1"/>
    <col min="13315" max="13315" width="12.5546875" style="25" customWidth="1"/>
    <col min="13316" max="13568" width="9.109375" style="25" customWidth="1"/>
    <col min="13569" max="13570" width="1.5546875" style="25" customWidth="1"/>
    <col min="13571" max="13571" width="12.5546875" style="25" customWidth="1"/>
    <col min="13572" max="13824" width="9.109375" style="25" customWidth="1"/>
    <col min="13825" max="13826" width="1.5546875" style="25" customWidth="1"/>
    <col min="13827" max="13827" width="12.5546875" style="25" customWidth="1"/>
    <col min="13828" max="14080" width="9.109375" style="25" customWidth="1"/>
    <col min="14081" max="14082" width="1.5546875" style="25" customWidth="1"/>
    <col min="14083" max="14083" width="12.5546875" style="25" customWidth="1"/>
    <col min="14084" max="14336" width="9.109375" style="25" customWidth="1"/>
    <col min="14337" max="14338" width="1.5546875" style="25" customWidth="1"/>
    <col min="14339" max="14339" width="12.5546875" style="25" customWidth="1"/>
    <col min="14340" max="14592" width="9.109375" style="25" customWidth="1"/>
    <col min="14593" max="14594" width="1.5546875" style="25" customWidth="1"/>
    <col min="14595" max="14595" width="12.5546875" style="25" customWidth="1"/>
    <col min="14596" max="14848" width="9.109375" style="25" customWidth="1"/>
    <col min="14849" max="14850" width="1.5546875" style="25" customWidth="1"/>
    <col min="14851" max="14851" width="12.5546875" style="25" customWidth="1"/>
    <col min="14852" max="15104" width="9.109375" style="25" customWidth="1"/>
    <col min="15105" max="15106" width="1.5546875" style="25" customWidth="1"/>
    <col min="15107" max="15107" width="12.5546875" style="25" customWidth="1"/>
    <col min="15108" max="15360" width="9.109375" style="25" customWidth="1"/>
    <col min="15361" max="15362" width="1.5546875" style="25" customWidth="1"/>
    <col min="15363" max="15363" width="12.5546875" style="25" customWidth="1"/>
    <col min="15364" max="15616" width="9.109375" style="25" customWidth="1"/>
    <col min="15617" max="15618" width="1.5546875" style="25" customWidth="1"/>
    <col min="15619" max="15619" width="12.5546875" style="25" customWidth="1"/>
    <col min="15620" max="15872" width="9.109375" style="25" customWidth="1"/>
    <col min="15873" max="15874" width="1.5546875" style="25" customWidth="1"/>
    <col min="15875" max="15875" width="12.5546875" style="25" customWidth="1"/>
    <col min="15876" max="16128" width="9.109375" style="25" customWidth="1"/>
    <col min="16129" max="16130" width="1.5546875" style="25" customWidth="1"/>
    <col min="16131" max="16131" width="12.5546875" style="25" customWidth="1"/>
    <col min="16132" max="16384" width="9.109375" style="25" customWidth="1"/>
  </cols>
  <sheetData>
    <row r="2" spans="1:5">
      <c r="A2" s="24" t="s">
        <v>201</v>
      </c>
      <c r="B2" s="24" t="s">
        <v>202</v>
      </c>
    </row>
    <row r="3" spans="1:5" ht="15" customHeight="1">
      <c r="A3" s="24">
        <v>7</v>
      </c>
      <c r="B3" s="24">
        <v>27600</v>
      </c>
      <c r="C3" s="532" t="s">
        <v>203</v>
      </c>
      <c r="D3" s="521"/>
      <c r="E3" s="533"/>
    </row>
    <row r="4" spans="1:5" ht="15" customHeight="1">
      <c r="A4" s="24">
        <v>8</v>
      </c>
      <c r="B4" s="24">
        <v>24300</v>
      </c>
      <c r="C4" s="483"/>
      <c r="D4" s="525"/>
      <c r="E4" s="534"/>
    </row>
    <row r="5" spans="1:5" ht="15" customHeight="1">
      <c r="A5" s="24">
        <v>9</v>
      </c>
      <c r="B5" s="24">
        <v>21800</v>
      </c>
      <c r="C5" s="26" t="s">
        <v>146</v>
      </c>
      <c r="D5" s="27" t="s">
        <v>204</v>
      </c>
      <c r="E5" s="27" t="s">
        <v>205</v>
      </c>
    </row>
    <row r="6" spans="1:5" ht="15" customHeight="1">
      <c r="A6" s="24">
        <v>10</v>
      </c>
      <c r="B6" s="24">
        <v>19800</v>
      </c>
      <c r="C6" s="28" t="s">
        <v>206</v>
      </c>
      <c r="D6" s="29">
        <f>'Pracovník A'!E28</f>
        <v>9.3000000000000007</v>
      </c>
      <c r="E6" s="30">
        <f>'Pracovník A'!F28</f>
        <v>6</v>
      </c>
    </row>
    <row r="7" spans="1:5" ht="15" customHeight="1">
      <c r="A7" s="24">
        <v>11</v>
      </c>
      <c r="B7" s="24">
        <v>18100</v>
      </c>
      <c r="C7" s="28" t="s">
        <v>103</v>
      </c>
      <c r="D7" s="529">
        <f>'Počet pohybů (s)'!H43</f>
        <v>0</v>
      </c>
      <c r="E7" s="405"/>
    </row>
    <row r="8" spans="1:5" ht="14.25" customHeight="1">
      <c r="A8" s="24">
        <v>12</v>
      </c>
      <c r="B8" s="24">
        <v>16700</v>
      </c>
      <c r="C8" s="530"/>
      <c r="D8" s="531"/>
      <c r="E8" s="405"/>
    </row>
    <row r="9" spans="1:5" ht="15" customHeight="1">
      <c r="A9" s="24">
        <v>13</v>
      </c>
      <c r="B9" s="24">
        <v>15500</v>
      </c>
      <c r="C9" s="26" t="s">
        <v>147</v>
      </c>
      <c r="D9" s="27" t="s">
        <v>204</v>
      </c>
      <c r="E9" s="27" t="s">
        <v>205</v>
      </c>
    </row>
    <row r="10" spans="1:5" ht="15" customHeight="1">
      <c r="A10" s="24">
        <v>14</v>
      </c>
      <c r="B10" s="24">
        <v>14400</v>
      </c>
      <c r="C10" s="28" t="s">
        <v>206</v>
      </c>
      <c r="D10" s="29">
        <f>'Pracovník A'!G28</f>
        <v>7.2</v>
      </c>
      <c r="E10" s="30">
        <f>'Pracovník A'!H28</f>
        <v>1.2</v>
      </c>
    </row>
    <row r="11" spans="1:5" ht="15" customHeight="1">
      <c r="A11" s="24">
        <v>15</v>
      </c>
      <c r="B11" s="24">
        <v>13500</v>
      </c>
      <c r="C11" s="28" t="s">
        <v>103</v>
      </c>
      <c r="D11" s="529">
        <f>'Počet pohybů (s)'!I43</f>
        <v>0</v>
      </c>
      <c r="E11" s="405"/>
    </row>
    <row r="12" spans="1:5">
      <c r="A12" s="24">
        <v>16</v>
      </c>
      <c r="B12" s="24">
        <v>12700</v>
      </c>
    </row>
    <row r="13" spans="1:5">
      <c r="A13" s="24">
        <v>17</v>
      </c>
      <c r="B13" s="24">
        <v>12000</v>
      </c>
    </row>
    <row r="14" spans="1:5">
      <c r="A14" s="24">
        <v>18</v>
      </c>
      <c r="B14" s="24">
        <v>11400</v>
      </c>
      <c r="C14" s="527" t="s">
        <v>207</v>
      </c>
      <c r="D14" s="528"/>
      <c r="E14" s="528"/>
    </row>
    <row r="15" spans="1:5">
      <c r="A15" s="24">
        <v>19</v>
      </c>
      <c r="B15" s="24">
        <v>10900</v>
      </c>
    </row>
    <row r="16" spans="1:5">
      <c r="A16" s="24">
        <v>20</v>
      </c>
      <c r="B16" s="24">
        <v>10400</v>
      </c>
    </row>
    <row r="17" spans="1:2">
      <c r="A17" s="24">
        <v>21</v>
      </c>
      <c r="B17" s="24">
        <v>10000</v>
      </c>
    </row>
    <row r="18" spans="1:2">
      <c r="A18" s="24">
        <v>22</v>
      </c>
      <c r="B18" s="24">
        <v>9600</v>
      </c>
    </row>
    <row r="19" spans="1:2">
      <c r="A19" s="24">
        <v>23</v>
      </c>
      <c r="B19" s="24">
        <v>9300</v>
      </c>
    </row>
    <row r="20" spans="1:2">
      <c r="A20" s="24">
        <v>24</v>
      </c>
      <c r="B20" s="24">
        <v>9000</v>
      </c>
    </row>
    <row r="21" spans="1:2">
      <c r="A21" s="24">
        <v>25</v>
      </c>
      <c r="B21" s="24">
        <v>8700</v>
      </c>
    </row>
    <row r="22" spans="1:2">
      <c r="A22" s="24">
        <v>26</v>
      </c>
      <c r="B22" s="24">
        <v>8400</v>
      </c>
    </row>
    <row r="23" spans="1:2">
      <c r="A23" s="24">
        <v>27</v>
      </c>
      <c r="B23" s="24">
        <v>8100</v>
      </c>
    </row>
    <row r="24" spans="1:2">
      <c r="A24" s="24">
        <v>28</v>
      </c>
      <c r="B24" s="24">
        <v>7800</v>
      </c>
    </row>
    <row r="25" spans="1:2">
      <c r="A25" s="24">
        <v>29</v>
      </c>
      <c r="B25" s="24">
        <v>7500</v>
      </c>
    </row>
    <row r="26" spans="1:2">
      <c r="A26" s="24">
        <v>30</v>
      </c>
      <c r="B26" s="24">
        <v>7200</v>
      </c>
    </row>
  </sheetData>
  <mergeCells count="5">
    <mergeCell ref="C14:E14"/>
    <mergeCell ref="D7:E7"/>
    <mergeCell ref="D11:E11"/>
    <mergeCell ref="C8:E8"/>
    <mergeCell ref="C3:E4"/>
  </mergeCells>
  <pageMargins left="0.7" right="0.7" top="0.78740157499999996" bottom="0.78740157499999996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st11">
    <tabColor rgb="FF552579"/>
  </sheetPr>
  <dimension ref="A2:E26"/>
  <sheetViews>
    <sheetView workbookViewId="0"/>
  </sheetViews>
  <sheetFormatPr defaultRowHeight="13.2"/>
  <cols>
    <col min="1" max="2" width="1.5546875" style="24" customWidth="1"/>
    <col min="3" max="3" width="12.5546875" style="25" customWidth="1"/>
    <col min="4" max="256" width="9.109375" style="25" customWidth="1"/>
    <col min="257" max="258" width="1.5546875" style="25" customWidth="1"/>
    <col min="259" max="259" width="12.5546875" style="25" customWidth="1"/>
    <col min="260" max="512" width="9.109375" style="25" customWidth="1"/>
    <col min="513" max="514" width="1.5546875" style="25" customWidth="1"/>
    <col min="515" max="515" width="12.5546875" style="25" customWidth="1"/>
    <col min="516" max="768" width="9.109375" style="25" customWidth="1"/>
    <col min="769" max="770" width="1.5546875" style="25" customWidth="1"/>
    <col min="771" max="771" width="12.5546875" style="25" customWidth="1"/>
    <col min="772" max="1024" width="9.109375" style="25" customWidth="1"/>
    <col min="1025" max="1026" width="1.5546875" style="25" customWidth="1"/>
    <col min="1027" max="1027" width="12.5546875" style="25" customWidth="1"/>
    <col min="1028" max="1280" width="9.109375" style="25" customWidth="1"/>
    <col min="1281" max="1282" width="1.5546875" style="25" customWidth="1"/>
    <col min="1283" max="1283" width="12.5546875" style="25" customWidth="1"/>
    <col min="1284" max="1536" width="9.109375" style="25" customWidth="1"/>
    <col min="1537" max="1538" width="1.5546875" style="25" customWidth="1"/>
    <col min="1539" max="1539" width="12.5546875" style="25" customWidth="1"/>
    <col min="1540" max="1792" width="9.109375" style="25" customWidth="1"/>
    <col min="1793" max="1794" width="1.5546875" style="25" customWidth="1"/>
    <col min="1795" max="1795" width="12.5546875" style="25" customWidth="1"/>
    <col min="1796" max="2048" width="9.109375" style="25" customWidth="1"/>
    <col min="2049" max="2050" width="1.5546875" style="25" customWidth="1"/>
    <col min="2051" max="2051" width="12.5546875" style="25" customWidth="1"/>
    <col min="2052" max="2304" width="9.109375" style="25" customWidth="1"/>
    <col min="2305" max="2306" width="1.5546875" style="25" customWidth="1"/>
    <col min="2307" max="2307" width="12.5546875" style="25" customWidth="1"/>
    <col min="2308" max="2560" width="9.109375" style="25" customWidth="1"/>
    <col min="2561" max="2562" width="1.5546875" style="25" customWidth="1"/>
    <col min="2563" max="2563" width="12.5546875" style="25" customWidth="1"/>
    <col min="2564" max="2816" width="9.109375" style="25" customWidth="1"/>
    <col min="2817" max="2818" width="1.5546875" style="25" customWidth="1"/>
    <col min="2819" max="2819" width="12.5546875" style="25" customWidth="1"/>
    <col min="2820" max="3072" width="9.109375" style="25" customWidth="1"/>
    <col min="3073" max="3074" width="1.5546875" style="25" customWidth="1"/>
    <col min="3075" max="3075" width="12.5546875" style="25" customWidth="1"/>
    <col min="3076" max="3328" width="9.109375" style="25" customWidth="1"/>
    <col min="3329" max="3330" width="1.5546875" style="25" customWidth="1"/>
    <col min="3331" max="3331" width="12.5546875" style="25" customWidth="1"/>
    <col min="3332" max="3584" width="9.109375" style="25" customWidth="1"/>
    <col min="3585" max="3586" width="1.5546875" style="25" customWidth="1"/>
    <col min="3587" max="3587" width="12.5546875" style="25" customWidth="1"/>
    <col min="3588" max="3840" width="9.109375" style="25" customWidth="1"/>
    <col min="3841" max="3842" width="1.5546875" style="25" customWidth="1"/>
    <col min="3843" max="3843" width="12.5546875" style="25" customWidth="1"/>
    <col min="3844" max="4096" width="9.109375" style="25" customWidth="1"/>
    <col min="4097" max="4098" width="1.5546875" style="25" customWidth="1"/>
    <col min="4099" max="4099" width="12.5546875" style="25" customWidth="1"/>
    <col min="4100" max="4352" width="9.109375" style="25" customWidth="1"/>
    <col min="4353" max="4354" width="1.5546875" style="25" customWidth="1"/>
    <col min="4355" max="4355" width="12.5546875" style="25" customWidth="1"/>
    <col min="4356" max="4608" width="9.109375" style="25" customWidth="1"/>
    <col min="4609" max="4610" width="1.5546875" style="25" customWidth="1"/>
    <col min="4611" max="4611" width="12.5546875" style="25" customWidth="1"/>
    <col min="4612" max="4864" width="9.109375" style="25" customWidth="1"/>
    <col min="4865" max="4866" width="1.5546875" style="25" customWidth="1"/>
    <col min="4867" max="4867" width="12.5546875" style="25" customWidth="1"/>
    <col min="4868" max="5120" width="9.109375" style="25" customWidth="1"/>
    <col min="5121" max="5122" width="1.5546875" style="25" customWidth="1"/>
    <col min="5123" max="5123" width="12.5546875" style="25" customWidth="1"/>
    <col min="5124" max="5376" width="9.109375" style="25" customWidth="1"/>
    <col min="5377" max="5378" width="1.5546875" style="25" customWidth="1"/>
    <col min="5379" max="5379" width="12.5546875" style="25" customWidth="1"/>
    <col min="5380" max="5632" width="9.109375" style="25" customWidth="1"/>
    <col min="5633" max="5634" width="1.5546875" style="25" customWidth="1"/>
    <col min="5635" max="5635" width="12.5546875" style="25" customWidth="1"/>
    <col min="5636" max="5888" width="9.109375" style="25" customWidth="1"/>
    <col min="5889" max="5890" width="1.5546875" style="25" customWidth="1"/>
    <col min="5891" max="5891" width="12.5546875" style="25" customWidth="1"/>
    <col min="5892" max="6144" width="9.109375" style="25" customWidth="1"/>
    <col min="6145" max="6146" width="1.5546875" style="25" customWidth="1"/>
    <col min="6147" max="6147" width="12.5546875" style="25" customWidth="1"/>
    <col min="6148" max="6400" width="9.109375" style="25" customWidth="1"/>
    <col min="6401" max="6402" width="1.5546875" style="25" customWidth="1"/>
    <col min="6403" max="6403" width="12.5546875" style="25" customWidth="1"/>
    <col min="6404" max="6656" width="9.109375" style="25" customWidth="1"/>
    <col min="6657" max="6658" width="1.5546875" style="25" customWidth="1"/>
    <col min="6659" max="6659" width="12.5546875" style="25" customWidth="1"/>
    <col min="6660" max="6912" width="9.109375" style="25" customWidth="1"/>
    <col min="6913" max="6914" width="1.5546875" style="25" customWidth="1"/>
    <col min="6915" max="6915" width="12.5546875" style="25" customWidth="1"/>
    <col min="6916" max="7168" width="9.109375" style="25" customWidth="1"/>
    <col min="7169" max="7170" width="1.5546875" style="25" customWidth="1"/>
    <col min="7171" max="7171" width="12.5546875" style="25" customWidth="1"/>
    <col min="7172" max="7424" width="9.109375" style="25" customWidth="1"/>
    <col min="7425" max="7426" width="1.5546875" style="25" customWidth="1"/>
    <col min="7427" max="7427" width="12.5546875" style="25" customWidth="1"/>
    <col min="7428" max="7680" width="9.109375" style="25" customWidth="1"/>
    <col min="7681" max="7682" width="1.5546875" style="25" customWidth="1"/>
    <col min="7683" max="7683" width="12.5546875" style="25" customWidth="1"/>
    <col min="7684" max="7936" width="9.109375" style="25" customWidth="1"/>
    <col min="7937" max="7938" width="1.5546875" style="25" customWidth="1"/>
    <col min="7939" max="7939" width="12.5546875" style="25" customWidth="1"/>
    <col min="7940" max="8192" width="9.109375" style="25" customWidth="1"/>
    <col min="8193" max="8194" width="1.5546875" style="25" customWidth="1"/>
    <col min="8195" max="8195" width="12.5546875" style="25" customWidth="1"/>
    <col min="8196" max="8448" width="9.109375" style="25" customWidth="1"/>
    <col min="8449" max="8450" width="1.5546875" style="25" customWidth="1"/>
    <col min="8451" max="8451" width="12.5546875" style="25" customWidth="1"/>
    <col min="8452" max="8704" width="9.109375" style="25" customWidth="1"/>
    <col min="8705" max="8706" width="1.5546875" style="25" customWidth="1"/>
    <col min="8707" max="8707" width="12.5546875" style="25" customWidth="1"/>
    <col min="8708" max="8960" width="9.109375" style="25" customWidth="1"/>
    <col min="8961" max="8962" width="1.5546875" style="25" customWidth="1"/>
    <col min="8963" max="8963" width="12.5546875" style="25" customWidth="1"/>
    <col min="8964" max="9216" width="9.109375" style="25" customWidth="1"/>
    <col min="9217" max="9218" width="1.5546875" style="25" customWidth="1"/>
    <col min="9219" max="9219" width="12.5546875" style="25" customWidth="1"/>
    <col min="9220" max="9472" width="9.109375" style="25" customWidth="1"/>
    <col min="9473" max="9474" width="1.5546875" style="25" customWidth="1"/>
    <col min="9475" max="9475" width="12.5546875" style="25" customWidth="1"/>
    <col min="9476" max="9728" width="9.109375" style="25" customWidth="1"/>
    <col min="9729" max="9730" width="1.5546875" style="25" customWidth="1"/>
    <col min="9731" max="9731" width="12.5546875" style="25" customWidth="1"/>
    <col min="9732" max="9984" width="9.109375" style="25" customWidth="1"/>
    <col min="9985" max="9986" width="1.5546875" style="25" customWidth="1"/>
    <col min="9987" max="9987" width="12.5546875" style="25" customWidth="1"/>
    <col min="9988" max="10240" width="9.109375" style="25" customWidth="1"/>
    <col min="10241" max="10242" width="1.5546875" style="25" customWidth="1"/>
    <col min="10243" max="10243" width="12.5546875" style="25" customWidth="1"/>
    <col min="10244" max="10496" width="9.109375" style="25" customWidth="1"/>
    <col min="10497" max="10498" width="1.5546875" style="25" customWidth="1"/>
    <col min="10499" max="10499" width="12.5546875" style="25" customWidth="1"/>
    <col min="10500" max="10752" width="9.109375" style="25" customWidth="1"/>
    <col min="10753" max="10754" width="1.5546875" style="25" customWidth="1"/>
    <col min="10755" max="10755" width="12.5546875" style="25" customWidth="1"/>
    <col min="10756" max="11008" width="9.109375" style="25" customWidth="1"/>
    <col min="11009" max="11010" width="1.5546875" style="25" customWidth="1"/>
    <col min="11011" max="11011" width="12.5546875" style="25" customWidth="1"/>
    <col min="11012" max="11264" width="9.109375" style="25" customWidth="1"/>
    <col min="11265" max="11266" width="1.5546875" style="25" customWidth="1"/>
    <col min="11267" max="11267" width="12.5546875" style="25" customWidth="1"/>
    <col min="11268" max="11520" width="9.109375" style="25" customWidth="1"/>
    <col min="11521" max="11522" width="1.5546875" style="25" customWidth="1"/>
    <col min="11523" max="11523" width="12.5546875" style="25" customWidth="1"/>
    <col min="11524" max="11776" width="9.109375" style="25" customWidth="1"/>
    <col min="11777" max="11778" width="1.5546875" style="25" customWidth="1"/>
    <col min="11779" max="11779" width="12.5546875" style="25" customWidth="1"/>
    <col min="11780" max="12032" width="9.109375" style="25" customWidth="1"/>
    <col min="12033" max="12034" width="1.5546875" style="25" customWidth="1"/>
    <col min="12035" max="12035" width="12.5546875" style="25" customWidth="1"/>
    <col min="12036" max="12288" width="9.109375" style="25" customWidth="1"/>
    <col min="12289" max="12290" width="1.5546875" style="25" customWidth="1"/>
    <col min="12291" max="12291" width="12.5546875" style="25" customWidth="1"/>
    <col min="12292" max="12544" width="9.109375" style="25" customWidth="1"/>
    <col min="12545" max="12546" width="1.5546875" style="25" customWidth="1"/>
    <col min="12547" max="12547" width="12.5546875" style="25" customWidth="1"/>
    <col min="12548" max="12800" width="9.109375" style="25" customWidth="1"/>
    <col min="12801" max="12802" width="1.5546875" style="25" customWidth="1"/>
    <col min="12803" max="12803" width="12.5546875" style="25" customWidth="1"/>
    <col min="12804" max="13056" width="9.109375" style="25" customWidth="1"/>
    <col min="13057" max="13058" width="1.5546875" style="25" customWidth="1"/>
    <col min="13059" max="13059" width="12.5546875" style="25" customWidth="1"/>
    <col min="13060" max="13312" width="9.109375" style="25" customWidth="1"/>
    <col min="13313" max="13314" width="1.5546875" style="25" customWidth="1"/>
    <col min="13315" max="13315" width="12.5546875" style="25" customWidth="1"/>
    <col min="13316" max="13568" width="9.109375" style="25" customWidth="1"/>
    <col min="13569" max="13570" width="1.5546875" style="25" customWidth="1"/>
    <col min="13571" max="13571" width="12.5546875" style="25" customWidth="1"/>
    <col min="13572" max="13824" width="9.109375" style="25" customWidth="1"/>
    <col min="13825" max="13826" width="1.5546875" style="25" customWidth="1"/>
    <col min="13827" max="13827" width="12.5546875" style="25" customWidth="1"/>
    <col min="13828" max="14080" width="9.109375" style="25" customWidth="1"/>
    <col min="14081" max="14082" width="1.5546875" style="25" customWidth="1"/>
    <col min="14083" max="14083" width="12.5546875" style="25" customWidth="1"/>
    <col min="14084" max="14336" width="9.109375" style="25" customWidth="1"/>
    <col min="14337" max="14338" width="1.5546875" style="25" customWidth="1"/>
    <col min="14339" max="14339" width="12.5546875" style="25" customWidth="1"/>
    <col min="14340" max="14592" width="9.109375" style="25" customWidth="1"/>
    <col min="14593" max="14594" width="1.5546875" style="25" customWidth="1"/>
    <col min="14595" max="14595" width="12.5546875" style="25" customWidth="1"/>
    <col min="14596" max="14848" width="9.109375" style="25" customWidth="1"/>
    <col min="14849" max="14850" width="1.5546875" style="25" customWidth="1"/>
    <col min="14851" max="14851" width="12.5546875" style="25" customWidth="1"/>
    <col min="14852" max="15104" width="9.109375" style="25" customWidth="1"/>
    <col min="15105" max="15106" width="1.5546875" style="25" customWidth="1"/>
    <col min="15107" max="15107" width="12.5546875" style="25" customWidth="1"/>
    <col min="15108" max="15360" width="9.109375" style="25" customWidth="1"/>
    <col min="15361" max="15362" width="1.5546875" style="25" customWidth="1"/>
    <col min="15363" max="15363" width="12.5546875" style="25" customWidth="1"/>
    <col min="15364" max="15616" width="9.109375" style="25" customWidth="1"/>
    <col min="15617" max="15618" width="1.5546875" style="25" customWidth="1"/>
    <col min="15619" max="15619" width="12.5546875" style="25" customWidth="1"/>
    <col min="15620" max="15872" width="9.109375" style="25" customWidth="1"/>
    <col min="15873" max="15874" width="1.5546875" style="25" customWidth="1"/>
    <col min="15875" max="15875" width="12.5546875" style="25" customWidth="1"/>
    <col min="15876" max="16128" width="9.109375" style="25" customWidth="1"/>
    <col min="16129" max="16130" width="1.5546875" style="25" customWidth="1"/>
    <col min="16131" max="16131" width="12.5546875" style="25" customWidth="1"/>
    <col min="16132" max="16384" width="9.109375" style="25" customWidth="1"/>
  </cols>
  <sheetData>
    <row r="2" spans="1:5">
      <c r="A2" s="24" t="s">
        <v>201</v>
      </c>
      <c r="B2" s="24" t="s">
        <v>202</v>
      </c>
    </row>
    <row r="3" spans="1:5" ht="15" customHeight="1">
      <c r="A3" s="24">
        <v>7</v>
      </c>
      <c r="B3" s="24">
        <v>27600</v>
      </c>
      <c r="C3" s="532" t="s">
        <v>203</v>
      </c>
      <c r="D3" s="521"/>
      <c r="E3" s="533"/>
    </row>
    <row r="4" spans="1:5" ht="15" customHeight="1">
      <c r="A4" s="24">
        <v>8</v>
      </c>
      <c r="B4" s="24">
        <v>24300</v>
      </c>
      <c r="C4" s="483"/>
      <c r="D4" s="525"/>
      <c r="E4" s="534"/>
    </row>
    <row r="5" spans="1:5" ht="15" customHeight="1">
      <c r="A5" s="24">
        <v>9</v>
      </c>
      <c r="B5" s="24">
        <v>21800</v>
      </c>
      <c r="C5" s="26" t="s">
        <v>146</v>
      </c>
      <c r="D5" s="27" t="s">
        <v>204</v>
      </c>
      <c r="E5" s="27" t="s">
        <v>205</v>
      </c>
    </row>
    <row r="6" spans="1:5" ht="15" customHeight="1">
      <c r="A6" s="24">
        <v>10</v>
      </c>
      <c r="B6" s="24">
        <v>19800</v>
      </c>
      <c r="C6" s="28" t="s">
        <v>206</v>
      </c>
      <c r="D6" s="29">
        <f>'Pracovník A'!E28</f>
        <v>9.3000000000000007</v>
      </c>
      <c r="E6" s="30">
        <f>'Pracovník A'!F28</f>
        <v>6</v>
      </c>
    </row>
    <row r="7" spans="1:5" ht="15" customHeight="1">
      <c r="A7" s="24">
        <v>11</v>
      </c>
      <c r="B7" s="24">
        <v>18100</v>
      </c>
      <c r="C7" s="28" t="s">
        <v>103</v>
      </c>
      <c r="D7" s="529" t="e">
        <f>'Počet pohybů (ks)'!H43</f>
        <v>#REF!</v>
      </c>
      <c r="E7" s="405"/>
    </row>
    <row r="8" spans="1:5" ht="14.25" customHeight="1">
      <c r="A8" s="24">
        <v>12</v>
      </c>
      <c r="B8" s="24">
        <v>16700</v>
      </c>
      <c r="C8" s="530"/>
      <c r="D8" s="531"/>
      <c r="E8" s="405"/>
    </row>
    <row r="9" spans="1:5" ht="15" customHeight="1">
      <c r="A9" s="24">
        <v>13</v>
      </c>
      <c r="B9" s="24">
        <v>15500</v>
      </c>
      <c r="C9" s="26" t="s">
        <v>147</v>
      </c>
      <c r="D9" s="27" t="s">
        <v>204</v>
      </c>
      <c r="E9" s="27" t="s">
        <v>205</v>
      </c>
    </row>
    <row r="10" spans="1:5" ht="15" customHeight="1">
      <c r="A10" s="24">
        <v>14</v>
      </c>
      <c r="B10" s="24">
        <v>14400</v>
      </c>
      <c r="C10" s="28" t="s">
        <v>206</v>
      </c>
      <c r="D10" s="29">
        <f>'Pracovník A'!G28</f>
        <v>7.2</v>
      </c>
      <c r="E10" s="30">
        <f>'Pracovník A'!H28</f>
        <v>1.2</v>
      </c>
    </row>
    <row r="11" spans="1:5" ht="15" customHeight="1">
      <c r="A11" s="24">
        <v>15</v>
      </c>
      <c r="B11" s="24">
        <v>13500</v>
      </c>
      <c r="C11" s="28" t="s">
        <v>103</v>
      </c>
      <c r="D11" s="529" t="e">
        <f>'Počet pohybů (ks)'!I43</f>
        <v>#REF!</v>
      </c>
      <c r="E11" s="405"/>
    </row>
    <row r="12" spans="1:5">
      <c r="A12" s="24">
        <v>16</v>
      </c>
      <c r="B12" s="24">
        <v>12700</v>
      </c>
    </row>
    <row r="13" spans="1:5">
      <c r="A13" s="24">
        <v>17</v>
      </c>
      <c r="B13" s="24">
        <v>12000</v>
      </c>
    </row>
    <row r="14" spans="1:5">
      <c r="A14" s="24">
        <v>18</v>
      </c>
      <c r="B14" s="24">
        <v>11400</v>
      </c>
      <c r="C14" s="535" t="s">
        <v>208</v>
      </c>
      <c r="D14" s="528"/>
      <c r="E14" s="528"/>
    </row>
    <row r="15" spans="1:5">
      <c r="A15" s="24">
        <v>19</v>
      </c>
      <c r="B15" s="24">
        <v>10900</v>
      </c>
    </row>
    <row r="16" spans="1:5">
      <c r="A16" s="24">
        <v>20</v>
      </c>
      <c r="B16" s="24">
        <v>10400</v>
      </c>
    </row>
    <row r="17" spans="1:2">
      <c r="A17" s="24">
        <v>21</v>
      </c>
      <c r="B17" s="24">
        <v>10000</v>
      </c>
    </row>
    <row r="18" spans="1:2">
      <c r="A18" s="24">
        <v>22</v>
      </c>
      <c r="B18" s="24">
        <v>9600</v>
      </c>
    </row>
    <row r="19" spans="1:2">
      <c r="A19" s="24">
        <v>23</v>
      </c>
      <c r="B19" s="24">
        <v>9300</v>
      </c>
    </row>
    <row r="20" spans="1:2">
      <c r="A20" s="24">
        <v>24</v>
      </c>
      <c r="B20" s="24">
        <v>9000</v>
      </c>
    </row>
    <row r="21" spans="1:2">
      <c r="A21" s="24">
        <v>25</v>
      </c>
      <c r="B21" s="24">
        <v>8700</v>
      </c>
    </row>
    <row r="22" spans="1:2">
      <c r="A22" s="24">
        <v>26</v>
      </c>
      <c r="B22" s="24">
        <v>8400</v>
      </c>
    </row>
    <row r="23" spans="1:2">
      <c r="A23" s="24">
        <v>27</v>
      </c>
      <c r="B23" s="24">
        <v>8100</v>
      </c>
    </row>
    <row r="24" spans="1:2">
      <c r="A24" s="24">
        <v>28</v>
      </c>
      <c r="B24" s="24">
        <v>7800</v>
      </c>
    </row>
    <row r="25" spans="1:2">
      <c r="A25" s="24">
        <v>29</v>
      </c>
      <c r="B25" s="24">
        <v>7500</v>
      </c>
    </row>
    <row r="26" spans="1:2">
      <c r="A26" s="24">
        <v>30</v>
      </c>
      <c r="B26" s="24">
        <v>7200</v>
      </c>
    </row>
  </sheetData>
  <mergeCells count="5">
    <mergeCell ref="C14:E14"/>
    <mergeCell ref="D7:E7"/>
    <mergeCell ref="D11:E11"/>
    <mergeCell ref="C8:E8"/>
    <mergeCell ref="C3:E4"/>
  </mergeCells>
  <pageMargins left="0.7" right="0.7" top="0.78740157499999996" bottom="0.78740157499999996" header="0.3" footer="0.3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4">
    <tabColor theme="9" tint="-0.249977111117893"/>
  </sheetPr>
  <dimension ref="B1:AC112"/>
  <sheetViews>
    <sheetView workbookViewId="0">
      <selection activeCell="M85" sqref="M85"/>
    </sheetView>
  </sheetViews>
  <sheetFormatPr defaultColWidth="8.88671875" defaultRowHeight="13.8"/>
  <cols>
    <col min="1" max="1" width="2.44140625" style="48" customWidth="1"/>
    <col min="2" max="2" width="4" style="48" customWidth="1"/>
    <col min="3" max="3" width="36.44140625" style="48" customWidth="1"/>
    <col min="4" max="4" width="11.5546875" style="48" customWidth="1"/>
    <col min="5" max="5" width="12.44140625" style="48" customWidth="1"/>
    <col min="6" max="6" width="11.88671875" style="48" customWidth="1"/>
    <col min="7" max="7" width="12.88671875" style="48" customWidth="1"/>
    <col min="8" max="8" width="12.5546875" style="48" customWidth="1"/>
    <col min="9" max="9" width="12.88671875" style="48" customWidth="1"/>
    <col min="10" max="10" width="6.44140625" style="48" hidden="1" customWidth="1"/>
    <col min="11" max="11" width="4.44140625" style="48" hidden="1" customWidth="1"/>
    <col min="12" max="12" width="2.109375" style="48" hidden="1" customWidth="1"/>
    <col min="13" max="13" width="13.88671875" style="48" customWidth="1"/>
    <col min="14" max="14" width="14.5546875" style="48" customWidth="1"/>
    <col min="15" max="15" width="14" style="48" customWidth="1"/>
    <col min="16" max="16" width="7.33203125" style="48" customWidth="1"/>
    <col min="17" max="17" width="15.44140625" style="48" customWidth="1"/>
    <col min="18" max="18" width="10.6640625" style="48" customWidth="1"/>
    <col min="19" max="19" width="12" style="48" customWidth="1"/>
    <col min="20" max="20" width="13" style="48" customWidth="1"/>
    <col min="21" max="21" width="12.6640625" style="48" customWidth="1"/>
    <col min="22" max="22" width="2" style="48" customWidth="1"/>
    <col min="23" max="23" width="8.88671875" style="48" customWidth="1"/>
    <col min="24" max="24" width="7" style="48" customWidth="1"/>
    <col min="25" max="25" width="8.88671875" style="48" customWidth="1"/>
    <col min="26" max="26" width="7.5546875" style="48" customWidth="1"/>
    <col min="27" max="27" width="8.88671875" style="48" customWidth="1"/>
    <col min="28" max="16384" width="8.88671875" style="48"/>
  </cols>
  <sheetData>
    <row r="1" spans="2:17" ht="48.75" customHeight="1">
      <c r="C1" s="481"/>
      <c r="D1" s="407"/>
      <c r="E1" s="407"/>
      <c r="F1" s="407"/>
      <c r="G1" s="407"/>
    </row>
    <row r="2" spans="2:17" ht="2.25" customHeight="1" thickBot="1"/>
    <row r="3" spans="2:17" ht="21.75" customHeight="1" thickBot="1">
      <c r="B3" s="475" t="s">
        <v>130</v>
      </c>
      <c r="C3" s="411"/>
      <c r="D3" s="411"/>
      <c r="E3" s="411"/>
      <c r="F3" s="411"/>
      <c r="G3" s="411"/>
      <c r="H3" s="403"/>
    </row>
    <row r="4" spans="2:17" ht="2.25" customHeight="1" thickBot="1">
      <c r="C4" s="168"/>
    </row>
    <row r="5" spans="2:17" ht="13.5" hidden="1" customHeight="1" thickBot="1">
      <c r="C5" s="168" t="s">
        <v>1</v>
      </c>
      <c r="D5" s="48">
        <f>'Časový snímek'!D3</f>
        <v>0</v>
      </c>
    </row>
    <row r="6" spans="2:17" ht="13.5" hidden="1" customHeight="1" thickBot="1">
      <c r="C6" s="168" t="s">
        <v>2</v>
      </c>
      <c r="D6" s="48">
        <f>'Časový snímek'!D4</f>
        <v>0</v>
      </c>
    </row>
    <row r="7" spans="2:17" ht="13.5" hidden="1" customHeight="1" thickBot="1">
      <c r="C7" s="168" t="s">
        <v>20</v>
      </c>
      <c r="D7" s="48" t="str">
        <f>'Časový snímek'!D12</f>
        <v>daisdijakl</v>
      </c>
    </row>
    <row r="8" spans="2:17" ht="3.75" hidden="1" customHeight="1"/>
    <row r="9" spans="2:17" ht="3.9" hidden="1" customHeight="1"/>
    <row r="10" spans="2:17" ht="3.9" hidden="1" customHeight="1"/>
    <row r="11" spans="2:17" ht="3.75" hidden="1" customHeight="1"/>
    <row r="12" spans="2:17" ht="3.75" hidden="1" customHeight="1" thickBot="1">
      <c r="D12" s="102"/>
      <c r="K12" s="102"/>
    </row>
    <row r="13" spans="2:17" ht="17.25" hidden="1" customHeight="1" thickBot="1">
      <c r="D13" s="102"/>
      <c r="J13" s="488"/>
      <c r="K13" s="407"/>
      <c r="L13" s="407"/>
      <c r="M13" s="407"/>
    </row>
    <row r="14" spans="2:17" ht="18.75" customHeight="1">
      <c r="B14" s="169"/>
      <c r="C14" s="170"/>
      <c r="D14" s="171"/>
      <c r="E14" s="515" t="s">
        <v>131</v>
      </c>
      <c r="F14" s="463"/>
      <c r="G14" s="463"/>
      <c r="H14" s="464"/>
      <c r="J14" s="172"/>
      <c r="K14" s="173"/>
      <c r="L14" s="172"/>
      <c r="M14" s="172"/>
      <c r="N14" s="174"/>
      <c r="O14" s="174"/>
    </row>
    <row r="15" spans="2:17" ht="46.5" customHeight="1" thickBot="1">
      <c r="B15" s="175"/>
      <c r="C15" s="176" t="s">
        <v>132</v>
      </c>
      <c r="D15" s="177" t="s">
        <v>133</v>
      </c>
      <c r="E15" s="178" t="s">
        <v>134</v>
      </c>
      <c r="F15" s="179" t="s">
        <v>135</v>
      </c>
      <c r="G15" s="179" t="s">
        <v>136</v>
      </c>
      <c r="H15" s="180" t="s">
        <v>137</v>
      </c>
      <c r="J15" s="181"/>
      <c r="K15" s="182"/>
      <c r="L15" s="181"/>
      <c r="M15" s="181"/>
      <c r="N15" s="174"/>
      <c r="O15" s="174"/>
    </row>
    <row r="16" spans="2:17">
      <c r="B16" s="175" t="s">
        <v>62</v>
      </c>
      <c r="C16" s="195" t="str">
        <f>'Časový snímek'!C26</f>
        <v>Zakládání</v>
      </c>
      <c r="D16" s="199">
        <f>'Časový snímek'!F26</f>
        <v>415</v>
      </c>
      <c r="E16" s="184">
        <v>0</v>
      </c>
      <c r="F16" s="185">
        <v>0</v>
      </c>
      <c r="G16" s="185">
        <v>0</v>
      </c>
      <c r="H16" s="186">
        <v>0</v>
      </c>
      <c r="J16" s="187">
        <f t="shared" ref="J16:J25" si="0">D16/$D$27*E16</f>
        <v>0</v>
      </c>
      <c r="K16" s="188">
        <f t="shared" ref="K16:K25" si="1">D16/$D$27*F16</f>
        <v>0</v>
      </c>
      <c r="L16" s="187">
        <f t="shared" ref="L16:L25" si="2">D16/$D$27*G16</f>
        <v>0</v>
      </c>
      <c r="M16" s="187">
        <f t="shared" ref="M16:M25" si="3">D16/$D$27*H16</f>
        <v>0</v>
      </c>
      <c r="N16" s="189">
        <f>'Vložení sil'!H2</f>
        <v>0</v>
      </c>
      <c r="O16" s="190">
        <f>'Vložení sil'!I2</f>
        <v>0</v>
      </c>
      <c r="P16" s="190">
        <f>'Vložení sil'!J2</f>
        <v>0</v>
      </c>
      <c r="Q16" s="191">
        <f>'Vložení sil'!K2</f>
        <v>0</v>
      </c>
    </row>
    <row r="17" spans="2:26">
      <c r="B17" s="175" t="s">
        <v>64</v>
      </c>
      <c r="C17" s="195" t="str">
        <f>'Časový snímek'!C27</f>
        <v>Bezpečnostní přestávka</v>
      </c>
      <c r="D17" s="199">
        <f>'Časový snímek'!F27</f>
        <v>35</v>
      </c>
      <c r="E17" s="184">
        <v>0</v>
      </c>
      <c r="F17" s="185">
        <v>0</v>
      </c>
      <c r="G17" s="185">
        <v>0</v>
      </c>
      <c r="H17" s="186">
        <v>0</v>
      </c>
      <c r="J17" s="187">
        <f t="shared" si="0"/>
        <v>0</v>
      </c>
      <c r="K17" s="188">
        <f t="shared" si="1"/>
        <v>0</v>
      </c>
      <c r="L17" s="187">
        <f t="shared" si="2"/>
        <v>0</v>
      </c>
      <c r="M17" s="187">
        <f t="shared" si="3"/>
        <v>0</v>
      </c>
      <c r="N17" s="192">
        <f>'Vložení sil'!H3</f>
        <v>0</v>
      </c>
      <c r="O17" s="193">
        <f>'Vložení sil'!I3</f>
        <v>0</v>
      </c>
      <c r="P17" s="193">
        <f>'Vložení sil'!J3</f>
        <v>0</v>
      </c>
      <c r="Q17" s="194">
        <f>'Vložení sil'!K3</f>
        <v>0</v>
      </c>
    </row>
    <row r="18" spans="2:26">
      <c r="B18" s="175" t="s">
        <v>66</v>
      </c>
      <c r="C18" s="195" t="str">
        <f>'Časový snímek'!C28</f>
        <v>Přestávka na jídlo a oddech</v>
      </c>
      <c r="D18" s="199">
        <f>'Časový snímek'!F28</f>
        <v>30</v>
      </c>
      <c r="E18" s="184">
        <v>0</v>
      </c>
      <c r="F18" s="185">
        <v>0</v>
      </c>
      <c r="G18" s="185">
        <v>0</v>
      </c>
      <c r="H18" s="186">
        <v>0</v>
      </c>
      <c r="J18" s="187">
        <f t="shared" si="0"/>
        <v>0</v>
      </c>
      <c r="K18" s="188">
        <f t="shared" si="1"/>
        <v>0</v>
      </c>
      <c r="L18" s="187">
        <f t="shared" si="2"/>
        <v>0</v>
      </c>
      <c r="M18" s="187">
        <f t="shared" si="3"/>
        <v>0</v>
      </c>
      <c r="N18" s="192">
        <f>'Vložení sil'!H4</f>
        <v>0</v>
      </c>
      <c r="O18" s="193">
        <f>'Vložení sil'!I4</f>
        <v>0</v>
      </c>
      <c r="P18" s="193">
        <f>'Vložení sil'!J4</f>
        <v>0</v>
      </c>
      <c r="Q18" s="194">
        <f>'Vložení sil'!K4</f>
        <v>0</v>
      </c>
    </row>
    <row r="19" spans="2:26">
      <c r="B19" s="175" t="s">
        <v>68</v>
      </c>
      <c r="C19" s="195">
        <f>'Časový snímek'!C29</f>
        <v>0</v>
      </c>
      <c r="D19" s="199">
        <f>'Časový snímek'!F29</f>
        <v>0</v>
      </c>
      <c r="E19" s="184">
        <v>0</v>
      </c>
      <c r="F19" s="185">
        <v>0</v>
      </c>
      <c r="G19" s="185">
        <v>0</v>
      </c>
      <c r="H19" s="186">
        <v>0</v>
      </c>
      <c r="J19" s="187">
        <f t="shared" si="0"/>
        <v>0</v>
      </c>
      <c r="K19" s="188">
        <f t="shared" si="1"/>
        <v>0</v>
      </c>
      <c r="L19" s="187">
        <f t="shared" si="2"/>
        <v>0</v>
      </c>
      <c r="M19" s="187">
        <f t="shared" si="3"/>
        <v>0</v>
      </c>
      <c r="N19" s="192">
        <f>'Vložení sil'!H5</f>
        <v>0</v>
      </c>
      <c r="O19" s="193">
        <f>'Vložení sil'!I5</f>
        <v>0</v>
      </c>
      <c r="P19" s="193">
        <f>'Vložení sil'!J5</f>
        <v>0</v>
      </c>
      <c r="Q19" s="194">
        <f>'Vložení sil'!K5</f>
        <v>0</v>
      </c>
    </row>
    <row r="20" spans="2:26">
      <c r="B20" s="175" t="s">
        <v>69</v>
      </c>
      <c r="C20" s="195">
        <f>'Časový snímek'!C30</f>
        <v>0</v>
      </c>
      <c r="D20" s="199">
        <f>'Časový snímek'!F30</f>
        <v>0</v>
      </c>
      <c r="E20" s="184">
        <v>0</v>
      </c>
      <c r="F20" s="185">
        <v>0</v>
      </c>
      <c r="G20" s="185">
        <v>0</v>
      </c>
      <c r="H20" s="186">
        <v>0</v>
      </c>
      <c r="J20" s="187">
        <f t="shared" si="0"/>
        <v>0</v>
      </c>
      <c r="K20" s="188">
        <f t="shared" si="1"/>
        <v>0</v>
      </c>
      <c r="L20" s="187">
        <f t="shared" si="2"/>
        <v>0</v>
      </c>
      <c r="M20" s="187">
        <f t="shared" si="3"/>
        <v>0</v>
      </c>
      <c r="N20" s="192">
        <f>'Vložení sil'!H6</f>
        <v>0</v>
      </c>
      <c r="O20" s="193">
        <f>'Vložení sil'!I6</f>
        <v>0</v>
      </c>
      <c r="P20" s="193">
        <f>'Vložení sil'!J6</f>
        <v>0</v>
      </c>
      <c r="Q20" s="194">
        <f>'Vložení sil'!K6</f>
        <v>0</v>
      </c>
    </row>
    <row r="21" spans="2:26">
      <c r="B21" s="175" t="s">
        <v>70</v>
      </c>
      <c r="C21" s="195">
        <f>'Časový snímek'!C31</f>
        <v>0</v>
      </c>
      <c r="D21" s="199">
        <f>'Časový snímek'!F31</f>
        <v>0</v>
      </c>
      <c r="E21" s="196">
        <v>0</v>
      </c>
      <c r="F21" s="197">
        <v>0</v>
      </c>
      <c r="G21" s="197">
        <v>0</v>
      </c>
      <c r="H21" s="198">
        <v>0</v>
      </c>
      <c r="J21" s="187">
        <f t="shared" si="0"/>
        <v>0</v>
      </c>
      <c r="K21" s="188">
        <f t="shared" si="1"/>
        <v>0</v>
      </c>
      <c r="L21" s="187">
        <f t="shared" si="2"/>
        <v>0</v>
      </c>
      <c r="M21" s="187">
        <f t="shared" si="3"/>
        <v>0</v>
      </c>
      <c r="N21" s="192">
        <f>'Vložení sil'!H7</f>
        <v>0</v>
      </c>
      <c r="O21" s="193">
        <f>'Vložení sil'!I7</f>
        <v>0</v>
      </c>
      <c r="P21" s="193">
        <f>'Vložení sil'!J7</f>
        <v>0</v>
      </c>
      <c r="Q21" s="194">
        <f>'Vložení sil'!K7</f>
        <v>0</v>
      </c>
    </row>
    <row r="22" spans="2:26">
      <c r="B22" s="175" t="s">
        <v>71</v>
      </c>
      <c r="C22" s="195">
        <f>'Časový snímek'!C32</f>
        <v>0</v>
      </c>
      <c r="D22" s="199">
        <f>'Časový snímek'!F32</f>
        <v>0</v>
      </c>
      <c r="E22" s="200">
        <v>0</v>
      </c>
      <c r="F22" s="201">
        <v>0</v>
      </c>
      <c r="G22" s="201">
        <v>0</v>
      </c>
      <c r="H22" s="202">
        <v>0</v>
      </c>
      <c r="J22" s="187">
        <f t="shared" si="0"/>
        <v>0</v>
      </c>
      <c r="K22" s="187">
        <f t="shared" si="1"/>
        <v>0</v>
      </c>
      <c r="L22" s="187">
        <f t="shared" si="2"/>
        <v>0</v>
      </c>
      <c r="M22" s="187">
        <f t="shared" si="3"/>
        <v>0</v>
      </c>
      <c r="N22" s="192">
        <f>'Vložení sil'!H8</f>
        <v>0</v>
      </c>
      <c r="O22" s="193">
        <f>'Vložení sil'!I8</f>
        <v>0</v>
      </c>
      <c r="P22" s="193">
        <f>'Vložení sil'!J8</f>
        <v>0</v>
      </c>
      <c r="Q22" s="194">
        <f>'Vložení sil'!K8</f>
        <v>0</v>
      </c>
    </row>
    <row r="23" spans="2:26">
      <c r="B23" s="175" t="s">
        <v>72</v>
      </c>
      <c r="C23" s="195">
        <f>'Časový snímek'!C33</f>
        <v>0</v>
      </c>
      <c r="D23" s="199">
        <f>'Časový snímek'!F33</f>
        <v>0</v>
      </c>
      <c r="E23" s="200">
        <v>0</v>
      </c>
      <c r="F23" s="201">
        <v>0</v>
      </c>
      <c r="G23" s="201">
        <v>0</v>
      </c>
      <c r="H23" s="202">
        <v>0</v>
      </c>
      <c r="J23" s="187">
        <f t="shared" si="0"/>
        <v>0</v>
      </c>
      <c r="K23" s="187">
        <f t="shared" si="1"/>
        <v>0</v>
      </c>
      <c r="L23" s="187">
        <f t="shared" si="2"/>
        <v>0</v>
      </c>
      <c r="M23" s="187">
        <f t="shared" si="3"/>
        <v>0</v>
      </c>
      <c r="N23" s="192">
        <f>'Vložení sil'!H9</f>
        <v>0</v>
      </c>
      <c r="O23" s="193">
        <f>'Vložení sil'!I9</f>
        <v>0</v>
      </c>
      <c r="P23" s="193">
        <f>'Vložení sil'!J9</f>
        <v>0</v>
      </c>
      <c r="Q23" s="194">
        <f>'Vložení sil'!K9</f>
        <v>0</v>
      </c>
    </row>
    <row r="24" spans="2:26">
      <c r="B24" s="175" t="s">
        <v>73</v>
      </c>
      <c r="C24" s="195">
        <f>'Časový snímek'!C34</f>
        <v>0</v>
      </c>
      <c r="D24" s="199">
        <f>'Časový snímek'!F34</f>
        <v>0</v>
      </c>
      <c r="E24" s="200">
        <v>0</v>
      </c>
      <c r="F24" s="201">
        <v>0</v>
      </c>
      <c r="G24" s="201">
        <v>0</v>
      </c>
      <c r="H24" s="202">
        <v>0</v>
      </c>
      <c r="J24" s="187">
        <f t="shared" si="0"/>
        <v>0</v>
      </c>
      <c r="K24" s="187">
        <f t="shared" si="1"/>
        <v>0</v>
      </c>
      <c r="L24" s="187">
        <f t="shared" si="2"/>
        <v>0</v>
      </c>
      <c r="M24" s="187">
        <f t="shared" si="3"/>
        <v>0</v>
      </c>
      <c r="N24" s="192">
        <f>'Vložení sil'!H10</f>
        <v>0</v>
      </c>
      <c r="O24" s="193">
        <f>'Vložení sil'!I10</f>
        <v>0</v>
      </c>
      <c r="P24" s="193">
        <f>'Vložení sil'!J10</f>
        <v>0</v>
      </c>
      <c r="Q24" s="194">
        <f>'Vložení sil'!K10</f>
        <v>0</v>
      </c>
    </row>
    <row r="25" spans="2:26" ht="13.5" customHeight="1" thickBot="1">
      <c r="B25" s="175" t="s">
        <v>74</v>
      </c>
      <c r="C25" s="195">
        <f>'Časový snímek'!C35</f>
        <v>0</v>
      </c>
      <c r="D25" s="199">
        <f>'Časový snímek'!F35</f>
        <v>0</v>
      </c>
      <c r="E25" s="257">
        <v>0</v>
      </c>
      <c r="F25" s="258">
        <v>0</v>
      </c>
      <c r="G25" s="258">
        <v>0</v>
      </c>
      <c r="H25" s="259">
        <v>0</v>
      </c>
      <c r="J25" s="187">
        <f t="shared" si="0"/>
        <v>0</v>
      </c>
      <c r="K25" s="187">
        <f t="shared" si="1"/>
        <v>0</v>
      </c>
      <c r="L25" s="187">
        <f t="shared" si="2"/>
        <v>0</v>
      </c>
      <c r="M25" s="187">
        <f t="shared" si="3"/>
        <v>0</v>
      </c>
      <c r="N25" s="203">
        <f>'Vložení sil'!H11</f>
        <v>0</v>
      </c>
      <c r="O25" s="133">
        <f>'Vložení sil'!I11</f>
        <v>0</v>
      </c>
      <c r="P25" s="133">
        <f>'Vložení sil'!J11</f>
        <v>0</v>
      </c>
      <c r="Q25" s="204">
        <f>'Vložení sil'!K11</f>
        <v>0</v>
      </c>
    </row>
    <row r="26" spans="2:26">
      <c r="B26" s="254" t="s">
        <v>138</v>
      </c>
      <c r="C26" s="255" t="s">
        <v>139</v>
      </c>
      <c r="D26" s="199">
        <f>'Časový snímek'!J6</f>
        <v>30</v>
      </c>
      <c r="E26" s="261"/>
      <c r="F26" s="261"/>
      <c r="G26" s="261"/>
      <c r="H26" s="262"/>
      <c r="J26" s="205">
        <f>SUM(J16:J25)</f>
        <v>0</v>
      </c>
      <c r="K26" s="205">
        <f>SUM(K16:K25)</f>
        <v>0</v>
      </c>
      <c r="L26" s="205">
        <f>SUM(L16:L25)</f>
        <v>0</v>
      </c>
      <c r="M26" s="205">
        <f>SUM(M16:M25)</f>
        <v>0</v>
      </c>
      <c r="N26" s="174"/>
      <c r="O26" s="174"/>
    </row>
    <row r="27" spans="2:26" ht="16.5" customHeight="1" thickBot="1">
      <c r="B27" s="175"/>
      <c r="C27" s="206" t="s">
        <v>140</v>
      </c>
      <c r="D27" s="207">
        <f>SUM(D16:D25)</f>
        <v>480</v>
      </c>
      <c r="E27" s="263"/>
      <c r="F27" s="263"/>
      <c r="G27" s="263"/>
      <c r="H27" s="264"/>
      <c r="J27" s="174"/>
      <c r="K27" s="174"/>
      <c r="L27" s="174"/>
      <c r="M27" s="174"/>
      <c r="N27" s="174"/>
      <c r="O27" s="174"/>
    </row>
    <row r="28" spans="2:26" ht="22.5" customHeight="1" thickBot="1">
      <c r="B28" s="208"/>
      <c r="C28" s="513" t="s">
        <v>141</v>
      </c>
      <c r="D28" s="467"/>
      <c r="E28" s="260">
        <f>ROUND(J26,1)</f>
        <v>0</v>
      </c>
      <c r="F28" s="260">
        <f>ROUND(K26,1)</f>
        <v>0</v>
      </c>
      <c r="G28" s="260">
        <f>ROUND(L26,1)</f>
        <v>0</v>
      </c>
      <c r="H28" s="260">
        <f>ROUND(M26,1)</f>
        <v>0</v>
      </c>
      <c r="J28" s="174"/>
      <c r="K28" s="174"/>
      <c r="L28" s="174"/>
      <c r="M28" s="174"/>
      <c r="N28" s="174"/>
      <c r="O28" s="174"/>
    </row>
    <row r="29" spans="2:26" ht="13.5" customHeight="1" thickBot="1"/>
    <row r="30" spans="2:26" ht="26.25" customHeight="1" thickBot="1">
      <c r="B30" s="475" t="s">
        <v>142</v>
      </c>
      <c r="C30" s="411"/>
      <c r="D30" s="411"/>
      <c r="E30" s="411"/>
      <c r="F30" s="411"/>
      <c r="G30" s="411"/>
      <c r="H30" s="411"/>
      <c r="I30" s="403"/>
      <c r="N30" s="475" t="s">
        <v>143</v>
      </c>
      <c r="O30" s="411"/>
      <c r="P30" s="411"/>
      <c r="Q30" s="411"/>
      <c r="R30" s="411"/>
      <c r="S30" s="411"/>
      <c r="T30" s="411"/>
      <c r="U30" s="403"/>
      <c r="W30" s="475" t="s">
        <v>144</v>
      </c>
      <c r="X30" s="411"/>
      <c r="Y30" s="411"/>
      <c r="Z30" s="403"/>
    </row>
    <row r="31" spans="2:26" ht="13.5" customHeight="1" thickBot="1"/>
    <row r="32" spans="2:26">
      <c r="B32" s="473" t="s">
        <v>145</v>
      </c>
      <c r="C32" s="436"/>
      <c r="D32" s="436"/>
      <c r="E32" s="436"/>
      <c r="F32" s="492" t="s">
        <v>146</v>
      </c>
      <c r="G32" s="434"/>
      <c r="H32" s="505" t="s">
        <v>147</v>
      </c>
      <c r="I32" s="419"/>
      <c r="N32" s="473" t="s">
        <v>145</v>
      </c>
      <c r="O32" s="436"/>
      <c r="P32" s="436"/>
      <c r="Q32" s="436"/>
      <c r="R32" s="492" t="s">
        <v>146</v>
      </c>
      <c r="S32" s="434"/>
      <c r="T32" s="505" t="s">
        <v>147</v>
      </c>
      <c r="U32" s="419"/>
      <c r="W32" s="479" t="s">
        <v>146</v>
      </c>
      <c r="X32" s="434"/>
      <c r="Y32" s="495" t="s">
        <v>147</v>
      </c>
      <c r="Z32" s="419"/>
    </row>
    <row r="33" spans="2:29" ht="13.5" customHeight="1" thickBot="1">
      <c r="B33" s="423"/>
      <c r="C33" s="437"/>
      <c r="D33" s="437"/>
      <c r="E33" s="437"/>
      <c r="F33" s="454"/>
      <c r="G33" s="478"/>
      <c r="H33" s="454"/>
      <c r="I33" s="506"/>
      <c r="N33" s="423"/>
      <c r="O33" s="437"/>
      <c r="P33" s="437"/>
      <c r="Q33" s="437"/>
      <c r="R33" s="454"/>
      <c r="S33" s="478"/>
      <c r="T33" s="454"/>
      <c r="U33" s="506"/>
      <c r="W33" s="423"/>
      <c r="X33" s="429"/>
      <c r="Y33" s="420"/>
      <c r="Z33" s="421"/>
    </row>
    <row r="34" spans="2:29">
      <c r="B34" s="503" t="str">
        <f>'Časový snímek'!C26</f>
        <v>Zakládání</v>
      </c>
      <c r="C34" s="436"/>
      <c r="D34" s="436"/>
      <c r="E34" s="436"/>
      <c r="F34" s="502">
        <f t="shared" ref="F34:F43" si="4">ROUND(G49*H49,-1)</f>
        <v>0</v>
      </c>
      <c r="G34" s="498"/>
      <c r="H34" s="502">
        <f t="shared" ref="H34:H43" si="5">ROUND(G49*I49,-1)</f>
        <v>0</v>
      </c>
      <c r="I34" s="498"/>
      <c r="N34" s="514" t="str">
        <f>'Časový snímek'!C26</f>
        <v>Zakládání</v>
      </c>
      <c r="O34" s="436"/>
      <c r="P34" s="436"/>
      <c r="Q34" s="434"/>
      <c r="R34" s="509">
        <f t="shared" ref="R34:R43" si="6">ROUND(S49*T49,-1)</f>
        <v>0</v>
      </c>
      <c r="S34" s="498"/>
      <c r="T34" s="502">
        <f t="shared" ref="T34:T43" si="7">ROUND(S49*U49,-1)</f>
        <v>0</v>
      </c>
      <c r="U34" s="498"/>
      <c r="W34" s="511">
        <f>SUM(F44,R44)</f>
        <v>0</v>
      </c>
      <c r="X34" s="436"/>
      <c r="Y34" s="491">
        <f>SUM(H44,T44)</f>
        <v>0</v>
      </c>
      <c r="Z34" s="419"/>
      <c r="AB34" s="346">
        <f t="shared" ref="AB34:AB39" si="8">F34+R34</f>
        <v>0</v>
      </c>
      <c r="AC34" s="346">
        <f t="shared" ref="AC34:AC39" si="9">H34+T34</f>
        <v>0</v>
      </c>
    </row>
    <row r="35" spans="2:29" ht="13.5" customHeight="1" thickBot="1">
      <c r="B35" s="477" t="str">
        <f>'Časový snímek'!C27</f>
        <v>Bezpečnostní přestávka</v>
      </c>
      <c r="C35" s="407"/>
      <c r="D35" s="407"/>
      <c r="E35" s="478"/>
      <c r="F35" s="486">
        <f t="shared" si="4"/>
        <v>0</v>
      </c>
      <c r="G35" s="405"/>
      <c r="H35" s="476">
        <f t="shared" si="5"/>
        <v>0</v>
      </c>
      <c r="I35" s="405"/>
      <c r="N35" s="477" t="str">
        <f>'Časový snímek'!C27</f>
        <v>Bezpečnostní přestávka</v>
      </c>
      <c r="O35" s="407"/>
      <c r="P35" s="407"/>
      <c r="Q35" s="478"/>
      <c r="R35" s="486">
        <f t="shared" si="6"/>
        <v>0</v>
      </c>
      <c r="S35" s="405"/>
      <c r="T35" s="476">
        <f t="shared" si="7"/>
        <v>0</v>
      </c>
      <c r="U35" s="405"/>
      <c r="W35" s="423"/>
      <c r="X35" s="437"/>
      <c r="Y35" s="420"/>
      <c r="Z35" s="421"/>
      <c r="AB35" s="346">
        <f t="shared" si="8"/>
        <v>0</v>
      </c>
      <c r="AC35" s="346">
        <f t="shared" si="9"/>
        <v>0</v>
      </c>
    </row>
    <row r="36" spans="2:29">
      <c r="B36" s="487" t="str">
        <f>'Časový snímek'!C28</f>
        <v>Přestávka na jídlo a oddech</v>
      </c>
      <c r="C36" s="407"/>
      <c r="D36" s="407"/>
      <c r="E36" s="407"/>
      <c r="F36" s="476">
        <f t="shared" si="4"/>
        <v>0</v>
      </c>
      <c r="G36" s="405"/>
      <c r="H36" s="476">
        <f t="shared" si="5"/>
        <v>0</v>
      </c>
      <c r="I36" s="405"/>
      <c r="N36" s="487" t="str">
        <f>'Časový snímek'!C28</f>
        <v>Přestávka na jídlo a oddech</v>
      </c>
      <c r="O36" s="407"/>
      <c r="P36" s="407"/>
      <c r="Q36" s="407"/>
      <c r="R36" s="476">
        <f t="shared" si="6"/>
        <v>0</v>
      </c>
      <c r="S36" s="405"/>
      <c r="T36" s="476">
        <f t="shared" si="7"/>
        <v>0</v>
      </c>
      <c r="U36" s="405"/>
      <c r="AB36" s="346">
        <f t="shared" si="8"/>
        <v>0</v>
      </c>
      <c r="AC36" s="346">
        <f t="shared" si="9"/>
        <v>0</v>
      </c>
    </row>
    <row r="37" spans="2:29">
      <c r="B37" s="487">
        <f>'Časový snímek'!C29</f>
        <v>0</v>
      </c>
      <c r="C37" s="407"/>
      <c r="D37" s="407"/>
      <c r="E37" s="407"/>
      <c r="F37" s="476">
        <f t="shared" si="4"/>
        <v>0</v>
      </c>
      <c r="G37" s="405"/>
      <c r="H37" s="476">
        <f t="shared" si="5"/>
        <v>0</v>
      </c>
      <c r="I37" s="405"/>
      <c r="N37" s="487">
        <f>'Časový snímek'!C29</f>
        <v>0</v>
      </c>
      <c r="O37" s="407"/>
      <c r="P37" s="407"/>
      <c r="Q37" s="407"/>
      <c r="R37" s="476">
        <f t="shared" si="6"/>
        <v>0</v>
      </c>
      <c r="S37" s="405"/>
      <c r="T37" s="476">
        <f t="shared" si="7"/>
        <v>0</v>
      </c>
      <c r="U37" s="405"/>
      <c r="AB37" s="346">
        <f t="shared" si="8"/>
        <v>0</v>
      </c>
      <c r="AC37" s="346">
        <f t="shared" si="9"/>
        <v>0</v>
      </c>
    </row>
    <row r="38" spans="2:29">
      <c r="B38" s="487">
        <f>'Časový snímek'!C30</f>
        <v>0</v>
      </c>
      <c r="C38" s="407"/>
      <c r="D38" s="407"/>
      <c r="E38" s="407"/>
      <c r="F38" s="476">
        <f t="shared" si="4"/>
        <v>0</v>
      </c>
      <c r="G38" s="405"/>
      <c r="H38" s="476">
        <f t="shared" si="5"/>
        <v>0</v>
      </c>
      <c r="I38" s="405"/>
      <c r="N38" s="487">
        <f>'Časový snímek'!C30</f>
        <v>0</v>
      </c>
      <c r="O38" s="407"/>
      <c r="P38" s="407"/>
      <c r="Q38" s="407"/>
      <c r="R38" s="476">
        <f t="shared" si="6"/>
        <v>0</v>
      </c>
      <c r="S38" s="405"/>
      <c r="T38" s="476">
        <f t="shared" si="7"/>
        <v>0</v>
      </c>
      <c r="U38" s="405"/>
      <c r="AB38" s="346">
        <f t="shared" si="8"/>
        <v>0</v>
      </c>
      <c r="AC38" s="346">
        <f t="shared" si="9"/>
        <v>0</v>
      </c>
    </row>
    <row r="39" spans="2:29">
      <c r="B39" s="477">
        <f>'Časový snímek'!C31</f>
        <v>0</v>
      </c>
      <c r="C39" s="407"/>
      <c r="D39" s="407"/>
      <c r="E39" s="478"/>
      <c r="F39" s="486">
        <f t="shared" si="4"/>
        <v>0</v>
      </c>
      <c r="G39" s="405"/>
      <c r="H39" s="476">
        <f t="shared" si="5"/>
        <v>0</v>
      </c>
      <c r="I39" s="405"/>
      <c r="N39" s="487">
        <f>'Časový snímek'!C31</f>
        <v>0</v>
      </c>
      <c r="O39" s="407"/>
      <c r="P39" s="407"/>
      <c r="Q39" s="407"/>
      <c r="R39" s="476">
        <f t="shared" si="6"/>
        <v>0</v>
      </c>
      <c r="S39" s="405"/>
      <c r="T39" s="476">
        <f t="shared" si="7"/>
        <v>0</v>
      </c>
      <c r="U39" s="405"/>
      <c r="AB39" s="346">
        <f t="shared" si="8"/>
        <v>0</v>
      </c>
      <c r="AC39" s="346">
        <f t="shared" si="9"/>
        <v>0</v>
      </c>
    </row>
    <row r="40" spans="2:29">
      <c r="B40" s="487">
        <f>'Časový snímek'!C32</f>
        <v>0</v>
      </c>
      <c r="C40" s="407"/>
      <c r="D40" s="407"/>
      <c r="E40" s="407"/>
      <c r="F40" s="476">
        <f t="shared" si="4"/>
        <v>0</v>
      </c>
      <c r="G40" s="405"/>
      <c r="H40" s="476">
        <f t="shared" si="5"/>
        <v>0</v>
      </c>
      <c r="I40" s="405"/>
      <c r="N40" s="487">
        <f>'Časový snímek'!C32</f>
        <v>0</v>
      </c>
      <c r="O40" s="407"/>
      <c r="P40" s="407"/>
      <c r="Q40" s="407"/>
      <c r="R40" s="476">
        <f t="shared" si="6"/>
        <v>0</v>
      </c>
      <c r="S40" s="405"/>
      <c r="T40" s="476">
        <f t="shared" si="7"/>
        <v>0</v>
      </c>
      <c r="U40" s="405"/>
    </row>
    <row r="41" spans="2:29">
      <c r="B41" s="487">
        <f>'Časový snímek'!C33</f>
        <v>0</v>
      </c>
      <c r="C41" s="407"/>
      <c r="D41" s="407"/>
      <c r="E41" s="407"/>
      <c r="F41" s="476">
        <f t="shared" si="4"/>
        <v>0</v>
      </c>
      <c r="G41" s="405"/>
      <c r="H41" s="476">
        <f t="shared" si="5"/>
        <v>0</v>
      </c>
      <c r="I41" s="405"/>
      <c r="N41" s="477">
        <f>'Časový snímek'!C33</f>
        <v>0</v>
      </c>
      <c r="O41" s="407"/>
      <c r="P41" s="407"/>
      <c r="Q41" s="478"/>
      <c r="R41" s="486">
        <f t="shared" si="6"/>
        <v>0</v>
      </c>
      <c r="S41" s="405"/>
      <c r="T41" s="476">
        <f t="shared" si="7"/>
        <v>0</v>
      </c>
      <c r="U41" s="405"/>
    </row>
    <row r="42" spans="2:29">
      <c r="B42" s="477">
        <f>'Časový snímek'!C34</f>
        <v>0</v>
      </c>
      <c r="C42" s="407"/>
      <c r="D42" s="407"/>
      <c r="E42" s="478"/>
      <c r="F42" s="486">
        <f t="shared" si="4"/>
        <v>0</v>
      </c>
      <c r="G42" s="405"/>
      <c r="H42" s="476">
        <f t="shared" si="5"/>
        <v>0</v>
      </c>
      <c r="I42" s="405"/>
      <c r="N42" s="487">
        <f>'Časový snímek'!C34</f>
        <v>0</v>
      </c>
      <c r="O42" s="407"/>
      <c r="P42" s="407"/>
      <c r="Q42" s="407"/>
      <c r="R42" s="476">
        <f t="shared" si="6"/>
        <v>0</v>
      </c>
      <c r="S42" s="405"/>
      <c r="T42" s="476">
        <f t="shared" si="7"/>
        <v>0</v>
      </c>
      <c r="U42" s="405"/>
    </row>
    <row r="43" spans="2:29" ht="13.5" customHeight="1" thickBot="1">
      <c r="B43" s="499">
        <f>'Časový snímek'!C35</f>
        <v>0</v>
      </c>
      <c r="C43" s="437"/>
      <c r="D43" s="437"/>
      <c r="E43" s="429"/>
      <c r="F43" s="512">
        <f t="shared" si="4"/>
        <v>0</v>
      </c>
      <c r="G43" s="415"/>
      <c r="H43" s="504">
        <f t="shared" si="5"/>
        <v>0</v>
      </c>
      <c r="I43" s="415"/>
      <c r="N43" s="500">
        <f>'Časový snímek'!C35</f>
        <v>0</v>
      </c>
      <c r="O43" s="437"/>
      <c r="P43" s="437"/>
      <c r="Q43" s="437"/>
      <c r="R43" s="504">
        <f t="shared" si="6"/>
        <v>0</v>
      </c>
      <c r="S43" s="415"/>
      <c r="T43" s="504">
        <f t="shared" si="7"/>
        <v>0</v>
      </c>
      <c r="U43" s="415"/>
    </row>
    <row r="44" spans="2:29" ht="13.5" customHeight="1" thickBot="1">
      <c r="B44" s="485" t="s">
        <v>148</v>
      </c>
      <c r="C44" s="411"/>
      <c r="D44" s="411"/>
      <c r="E44" s="413"/>
      <c r="F44" s="480">
        <f>SUM(F34:G43)</f>
        <v>0</v>
      </c>
      <c r="G44" s="429"/>
      <c r="H44" s="493">
        <f>SUM(H34:I43)</f>
        <v>0</v>
      </c>
      <c r="I44" s="421"/>
      <c r="N44" s="485" t="s">
        <v>148</v>
      </c>
      <c r="O44" s="411"/>
      <c r="P44" s="411"/>
      <c r="Q44" s="413"/>
      <c r="R44" s="480">
        <f>SUM(R34:S43)</f>
        <v>0</v>
      </c>
      <c r="S44" s="429"/>
      <c r="T44" s="493">
        <f>SUM(T34:U43)</f>
        <v>0</v>
      </c>
      <c r="U44" s="421"/>
    </row>
    <row r="45" spans="2:29" ht="13.5" customHeight="1" thickBot="1"/>
    <row r="46" spans="2:29">
      <c r="B46" s="473" t="s">
        <v>145</v>
      </c>
      <c r="C46" s="436"/>
      <c r="D46" s="436"/>
      <c r="E46" s="436"/>
      <c r="F46" s="453" t="s">
        <v>149</v>
      </c>
      <c r="G46" s="496" t="s">
        <v>150</v>
      </c>
      <c r="H46" s="482" t="s">
        <v>151</v>
      </c>
      <c r="I46" s="419"/>
      <c r="N46" s="473" t="s">
        <v>145</v>
      </c>
      <c r="O46" s="436"/>
      <c r="P46" s="436"/>
      <c r="Q46" s="436"/>
      <c r="R46" s="453" t="s">
        <v>149</v>
      </c>
      <c r="S46" s="496" t="s">
        <v>150</v>
      </c>
      <c r="T46" s="482" t="s">
        <v>151</v>
      </c>
      <c r="U46" s="419"/>
    </row>
    <row r="47" spans="2:29">
      <c r="B47" s="474"/>
      <c r="C47" s="407"/>
      <c r="D47" s="407"/>
      <c r="E47" s="407"/>
      <c r="F47" s="454"/>
      <c r="G47" s="454"/>
      <c r="H47" s="483"/>
      <c r="I47" s="484"/>
      <c r="N47" s="474"/>
      <c r="O47" s="407"/>
      <c r="P47" s="407"/>
      <c r="Q47" s="407"/>
      <c r="R47" s="454"/>
      <c r="S47" s="454"/>
      <c r="T47" s="483"/>
      <c r="U47" s="484"/>
    </row>
    <row r="48" spans="2:29" ht="13.5" customHeight="1" thickBot="1">
      <c r="B48" s="423"/>
      <c r="C48" s="437"/>
      <c r="D48" s="437"/>
      <c r="E48" s="437"/>
      <c r="F48" s="420"/>
      <c r="G48" s="420"/>
      <c r="H48" s="231" t="s">
        <v>146</v>
      </c>
      <c r="I48" s="232" t="s">
        <v>147</v>
      </c>
      <c r="N48" s="423"/>
      <c r="O48" s="437"/>
      <c r="P48" s="437"/>
      <c r="Q48" s="437"/>
      <c r="R48" s="420"/>
      <c r="S48" s="420"/>
      <c r="T48" s="231" t="s">
        <v>146</v>
      </c>
      <c r="U48" s="232" t="s">
        <v>147</v>
      </c>
    </row>
    <row r="49" spans="2:21">
      <c r="B49" s="514" t="str">
        <f>'Časový snímek'!C26</f>
        <v>Zakládání</v>
      </c>
      <c r="C49" s="436"/>
      <c r="D49" s="436"/>
      <c r="E49" s="434"/>
      <c r="F49" s="233" t="s">
        <v>152</v>
      </c>
      <c r="G49" s="235">
        <f>'Časový snímek'!F26</f>
        <v>415</v>
      </c>
      <c r="H49" s="235">
        <f>'Pohyby prac. B'!V5</f>
        <v>0</v>
      </c>
      <c r="I49" s="234">
        <f>'Pohyby prac. B'!V6</f>
        <v>0</v>
      </c>
      <c r="N49" s="514" t="str">
        <f>'Časový snímek'!C26</f>
        <v>Zakládání</v>
      </c>
      <c r="O49" s="436"/>
      <c r="P49" s="436"/>
      <c r="Q49" s="434"/>
      <c r="R49" s="233" t="s">
        <v>153</v>
      </c>
      <c r="S49" s="235">
        <f>'Časový snímek'!K26</f>
        <v>179.97166666666666</v>
      </c>
      <c r="T49" s="235">
        <f>'Pohyby prac. B'!V29</f>
        <v>0</v>
      </c>
      <c r="U49" s="234">
        <f>'Pohyby prac. B'!V30</f>
        <v>0</v>
      </c>
    </row>
    <row r="50" spans="2:21">
      <c r="B50" s="477" t="str">
        <f>'Časový snímek'!C27</f>
        <v>Bezpečnostní přestávka</v>
      </c>
      <c r="C50" s="407"/>
      <c r="D50" s="407"/>
      <c r="E50" s="478"/>
      <c r="F50" s="233" t="s">
        <v>152</v>
      </c>
      <c r="G50" s="235">
        <f>'Časový snímek'!F27</f>
        <v>35</v>
      </c>
      <c r="H50" s="235">
        <f>'Pohyby prac. B'!V7</f>
        <v>0</v>
      </c>
      <c r="I50" s="234">
        <f>'Pohyby prac. B'!V8</f>
        <v>0</v>
      </c>
      <c r="N50" s="477" t="str">
        <f>'Časový snímek'!C27</f>
        <v>Bezpečnostní přestávka</v>
      </c>
      <c r="O50" s="407"/>
      <c r="P50" s="407"/>
      <c r="Q50" s="478"/>
      <c r="R50" s="233" t="s">
        <v>153</v>
      </c>
      <c r="S50" s="235">
        <f>'Časový snímek'!K27</f>
        <v>0</v>
      </c>
      <c r="T50" s="235">
        <f>'Pohyby prac. B'!V31</f>
        <v>0</v>
      </c>
      <c r="U50" s="234">
        <f>'Pohyby prac. B'!V32</f>
        <v>0</v>
      </c>
    </row>
    <row r="51" spans="2:21">
      <c r="B51" s="477" t="str">
        <f>'Časový snímek'!C28</f>
        <v>Přestávka na jídlo a oddech</v>
      </c>
      <c r="C51" s="407"/>
      <c r="D51" s="407"/>
      <c r="E51" s="478"/>
      <c r="F51" s="233" t="s">
        <v>152</v>
      </c>
      <c r="G51" s="235">
        <f>'Časový snímek'!F28</f>
        <v>30</v>
      </c>
      <c r="H51" s="235">
        <f>'Pohyby prac. B'!V9</f>
        <v>0</v>
      </c>
      <c r="I51" s="234">
        <f>'Pohyby prac. B'!V10</f>
        <v>0</v>
      </c>
      <c r="N51" s="477" t="str">
        <f>'Časový snímek'!C28</f>
        <v>Přestávka na jídlo a oddech</v>
      </c>
      <c r="O51" s="407"/>
      <c r="P51" s="407"/>
      <c r="Q51" s="478"/>
      <c r="R51" s="233" t="s">
        <v>153</v>
      </c>
      <c r="S51" s="235">
        <f>'Časový snímek'!K28</f>
        <v>0</v>
      </c>
      <c r="T51" s="235">
        <f>'Pohyby prac. B'!V33</f>
        <v>0</v>
      </c>
      <c r="U51" s="234">
        <f>'Pohyby prac. B'!V34</f>
        <v>0</v>
      </c>
    </row>
    <row r="52" spans="2:21">
      <c r="B52" s="477">
        <f>'Časový snímek'!C29</f>
        <v>0</v>
      </c>
      <c r="C52" s="407"/>
      <c r="D52" s="407"/>
      <c r="E52" s="478"/>
      <c r="F52" s="233" t="s">
        <v>152</v>
      </c>
      <c r="G52" s="235">
        <f>'Časový snímek'!F29</f>
        <v>0</v>
      </c>
      <c r="H52" s="235">
        <f>'Pohyby prac. B'!V11</f>
        <v>0</v>
      </c>
      <c r="I52" s="234">
        <f>'Pohyby prac. B'!V12</f>
        <v>0</v>
      </c>
      <c r="N52" s="477">
        <f>'Časový snímek'!C29</f>
        <v>0</v>
      </c>
      <c r="O52" s="407"/>
      <c r="P52" s="407"/>
      <c r="Q52" s="478"/>
      <c r="R52" s="233" t="s">
        <v>153</v>
      </c>
      <c r="S52" s="235">
        <f>'Časový snímek'!K29</f>
        <v>0</v>
      </c>
      <c r="T52" s="235">
        <f>'Pohyby prac. B'!V35</f>
        <v>0</v>
      </c>
      <c r="U52" s="234">
        <f>'Pohyby prac. B'!V36</f>
        <v>0</v>
      </c>
    </row>
    <row r="53" spans="2:21">
      <c r="B53" s="477">
        <f>'Časový snímek'!C30</f>
        <v>0</v>
      </c>
      <c r="C53" s="407"/>
      <c r="D53" s="407"/>
      <c r="E53" s="478"/>
      <c r="F53" s="233" t="s">
        <v>152</v>
      </c>
      <c r="G53" s="235">
        <f>'Časový snímek'!F30</f>
        <v>0</v>
      </c>
      <c r="H53" s="235">
        <f>'Pohyby prac. B'!V13</f>
        <v>0</v>
      </c>
      <c r="I53" s="234">
        <f>'Pohyby prac. B'!V14</f>
        <v>0</v>
      </c>
      <c r="N53" s="477">
        <f>'Časový snímek'!C30</f>
        <v>0</v>
      </c>
      <c r="O53" s="407"/>
      <c r="P53" s="407"/>
      <c r="Q53" s="478"/>
      <c r="R53" s="233" t="s">
        <v>153</v>
      </c>
      <c r="S53" s="235">
        <f>'Časový snímek'!K30</f>
        <v>0</v>
      </c>
      <c r="T53" s="235">
        <f>'Pohyby prac. B'!V37</f>
        <v>0</v>
      </c>
      <c r="U53" s="234">
        <f>'Pohyby prac. B'!V38</f>
        <v>0</v>
      </c>
    </row>
    <row r="54" spans="2:21">
      <c r="B54" s="477">
        <f>'Časový snímek'!C31</f>
        <v>0</v>
      </c>
      <c r="C54" s="407"/>
      <c r="D54" s="407"/>
      <c r="E54" s="478"/>
      <c r="F54" s="233" t="s">
        <v>152</v>
      </c>
      <c r="G54" s="235">
        <f>'Časový snímek'!F31</f>
        <v>0</v>
      </c>
      <c r="H54" s="235">
        <f>'Pohyby prac. B'!V15</f>
        <v>0</v>
      </c>
      <c r="I54" s="234">
        <f>'Pohyby prac. B'!V16</f>
        <v>0</v>
      </c>
      <c r="N54" s="477">
        <f>'Časový snímek'!C31</f>
        <v>0</v>
      </c>
      <c r="O54" s="407"/>
      <c r="P54" s="407"/>
      <c r="Q54" s="478"/>
      <c r="R54" s="233" t="s">
        <v>153</v>
      </c>
      <c r="S54" s="235">
        <f>'Časový snímek'!K31</f>
        <v>0</v>
      </c>
      <c r="T54" s="235">
        <f>'Pohyby prac. B'!V39</f>
        <v>0</v>
      </c>
      <c r="U54" s="234">
        <f>'Pohyby prac. B'!V40</f>
        <v>0</v>
      </c>
    </row>
    <row r="55" spans="2:21">
      <c r="B55" s="477">
        <f>'Časový snímek'!C32</f>
        <v>0</v>
      </c>
      <c r="C55" s="407"/>
      <c r="D55" s="407"/>
      <c r="E55" s="478"/>
      <c r="F55" s="233" t="s">
        <v>152</v>
      </c>
      <c r="G55" s="235">
        <f>'Časový snímek'!F32</f>
        <v>0</v>
      </c>
      <c r="H55" s="235">
        <f>'Pohyby prac. B'!V17</f>
        <v>0</v>
      </c>
      <c r="I55" s="234">
        <f>'Pohyby prac. B'!V18</f>
        <v>0</v>
      </c>
      <c r="N55" s="477">
        <f>'Časový snímek'!C32</f>
        <v>0</v>
      </c>
      <c r="O55" s="407"/>
      <c r="P55" s="407"/>
      <c r="Q55" s="478"/>
      <c r="R55" s="233" t="s">
        <v>153</v>
      </c>
      <c r="S55" s="235">
        <f>'Časový snímek'!K32</f>
        <v>0</v>
      </c>
      <c r="T55" s="235">
        <f>'Pohyby prac. B'!V41</f>
        <v>0</v>
      </c>
      <c r="U55" s="234">
        <f>'Pohyby prac. B'!V42</f>
        <v>0</v>
      </c>
    </row>
    <row r="56" spans="2:21">
      <c r="B56" s="477">
        <f>'Časový snímek'!C33</f>
        <v>0</v>
      </c>
      <c r="C56" s="407"/>
      <c r="D56" s="407"/>
      <c r="E56" s="478"/>
      <c r="F56" s="233" t="s">
        <v>152</v>
      </c>
      <c r="G56" s="235">
        <f>'Časový snímek'!F33</f>
        <v>0</v>
      </c>
      <c r="H56" s="235">
        <f>'Pohyby prac. B'!V19</f>
        <v>0</v>
      </c>
      <c r="I56" s="234">
        <f>'Pohyby prac. B'!V20</f>
        <v>0</v>
      </c>
      <c r="N56" s="477">
        <f>'Časový snímek'!C33</f>
        <v>0</v>
      </c>
      <c r="O56" s="407"/>
      <c r="P56" s="407"/>
      <c r="Q56" s="478"/>
      <c r="R56" s="233" t="s">
        <v>153</v>
      </c>
      <c r="S56" s="235">
        <f>'Časový snímek'!K33</f>
        <v>0</v>
      </c>
      <c r="T56" s="235">
        <f>'Pohyby prac. B'!V43</f>
        <v>0</v>
      </c>
      <c r="U56" s="234">
        <f>'Pohyby prac. B'!V44</f>
        <v>0</v>
      </c>
    </row>
    <row r="57" spans="2:21">
      <c r="B57" s="477">
        <f>'Časový snímek'!C34</f>
        <v>0</v>
      </c>
      <c r="C57" s="407"/>
      <c r="D57" s="407"/>
      <c r="E57" s="478"/>
      <c r="F57" s="233" t="s">
        <v>152</v>
      </c>
      <c r="G57" s="235">
        <f>'Časový snímek'!F34</f>
        <v>0</v>
      </c>
      <c r="H57" s="235">
        <f>'Pohyby prac. B'!V21</f>
        <v>0</v>
      </c>
      <c r="I57" s="234">
        <f>'Pohyby prac. B'!V22</f>
        <v>0</v>
      </c>
      <c r="N57" s="477">
        <f>'Časový snímek'!C34</f>
        <v>0</v>
      </c>
      <c r="O57" s="407"/>
      <c r="P57" s="407"/>
      <c r="Q57" s="478"/>
      <c r="R57" s="233" t="s">
        <v>153</v>
      </c>
      <c r="S57" s="235">
        <f>'Časový snímek'!K34</f>
        <v>0</v>
      </c>
      <c r="T57" s="235">
        <f>'Pohyby prac. B'!V45</f>
        <v>0</v>
      </c>
      <c r="U57" s="234">
        <f>'Pohyby prac. B'!V46</f>
        <v>0</v>
      </c>
    </row>
    <row r="58" spans="2:21" ht="13.5" customHeight="1" thickBot="1">
      <c r="B58" s="499">
        <f>'Časový snímek'!C35</f>
        <v>0</v>
      </c>
      <c r="C58" s="437"/>
      <c r="D58" s="437"/>
      <c r="E58" s="429"/>
      <c r="F58" s="233" t="s">
        <v>152</v>
      </c>
      <c r="G58" s="235">
        <f>'Časový snímek'!F35</f>
        <v>0</v>
      </c>
      <c r="H58" s="235">
        <f>'Pohyby prac. B'!V23</f>
        <v>0</v>
      </c>
      <c r="I58" s="234">
        <f>'Pohyby prac. B'!V24</f>
        <v>0</v>
      </c>
      <c r="N58" s="477">
        <f>'Časový snímek'!C35</f>
        <v>0</v>
      </c>
      <c r="O58" s="407"/>
      <c r="P58" s="407"/>
      <c r="Q58" s="478"/>
      <c r="R58" s="233" t="s">
        <v>153</v>
      </c>
      <c r="S58" s="235">
        <f>'Časový snímek'!K35</f>
        <v>0</v>
      </c>
      <c r="T58" s="235">
        <f>'Pohyby prac. B'!V47</f>
        <v>0</v>
      </c>
      <c r="U58" s="234">
        <f>'Pohyby prac. B'!V48</f>
        <v>0</v>
      </c>
    </row>
    <row r="59" spans="2:21" ht="13.5" customHeight="1" thickBot="1">
      <c r="B59" s="485" t="s">
        <v>154</v>
      </c>
      <c r="C59" s="411"/>
      <c r="D59" s="411"/>
      <c r="E59" s="413"/>
      <c r="F59" s="236" t="s">
        <v>152</v>
      </c>
      <c r="G59" s="237">
        <f>SUM(G49:G58)</f>
        <v>480</v>
      </c>
      <c r="H59" s="237">
        <f>F44</f>
        <v>0</v>
      </c>
      <c r="I59" s="238">
        <f>H44</f>
        <v>0</v>
      </c>
      <c r="N59" s="485" t="s">
        <v>154</v>
      </c>
      <c r="O59" s="411"/>
      <c r="P59" s="411"/>
      <c r="Q59" s="413"/>
      <c r="R59" s="236" t="s">
        <v>153</v>
      </c>
      <c r="S59" s="237">
        <f>SUM(S49:S58)</f>
        <v>179.97166666666666</v>
      </c>
      <c r="T59" s="237">
        <f>R44</f>
        <v>0</v>
      </c>
      <c r="U59" s="238">
        <f>T44</f>
        <v>0</v>
      </c>
    </row>
    <row r="60" spans="2:21" ht="13.5" customHeight="1" thickBot="1"/>
    <row r="61" spans="2:21" ht="28.5" customHeight="1" thickBot="1">
      <c r="B61" s="272"/>
      <c r="C61" s="272"/>
      <c r="D61" s="272"/>
      <c r="E61" s="272"/>
      <c r="F61" s="475" t="s">
        <v>155</v>
      </c>
      <c r="G61" s="411"/>
      <c r="H61" s="411"/>
      <c r="I61" s="411"/>
      <c r="J61" s="411"/>
      <c r="K61" s="411"/>
      <c r="L61" s="411"/>
      <c r="M61" s="411"/>
      <c r="N61" s="411"/>
      <c r="O61" s="411"/>
      <c r="P61" s="411"/>
      <c r="Q61" s="403"/>
    </row>
    <row r="62" spans="2:21" ht="10.5" customHeight="1" thickBot="1">
      <c r="B62" s="516"/>
      <c r="C62" s="407"/>
      <c r="D62" s="407"/>
      <c r="E62" s="407"/>
      <c r="F62" s="407"/>
      <c r="G62" s="407"/>
      <c r="H62" s="407"/>
      <c r="I62" s="407"/>
    </row>
    <row r="63" spans="2:21">
      <c r="O63" s="280" t="s">
        <v>156</v>
      </c>
      <c r="P63" s="282">
        <v>8</v>
      </c>
      <c r="Q63" s="284" t="s">
        <v>157</v>
      </c>
    </row>
    <row r="64" spans="2:21" ht="13.5" customHeight="1" thickBot="1">
      <c r="O64" s="281" t="s">
        <v>158</v>
      </c>
      <c r="P64" s="283">
        <f>(P63-8)*5</f>
        <v>0</v>
      </c>
      <c r="Q64" s="285" t="s">
        <v>159</v>
      </c>
    </row>
    <row r="65" spans="7:28">
      <c r="R65" s="48" t="s">
        <v>160</v>
      </c>
      <c r="S65" s="48" t="s">
        <v>146</v>
      </c>
      <c r="T65" s="48" t="s">
        <v>147</v>
      </c>
    </row>
    <row r="66" spans="7:28">
      <c r="N66" s="517"/>
      <c r="O66" s="407"/>
      <c r="P66" s="542"/>
      <c r="Q66" s="407"/>
      <c r="R66" s="37">
        <v>7</v>
      </c>
      <c r="S66" s="38">
        <f t="shared" ref="S66:S112" si="10">((V66/100)*$P$64)+V66</f>
        <v>27600</v>
      </c>
      <c r="T66" s="38">
        <f t="shared" ref="T66:T112" si="11">((V66/100)*$P$64)+V66</f>
        <v>27600</v>
      </c>
      <c r="U66" s="50"/>
      <c r="V66" s="37">
        <v>27600</v>
      </c>
      <c r="W66" s="70"/>
      <c r="X66" s="70"/>
    </row>
    <row r="67" spans="7:28">
      <c r="N67" s="273"/>
      <c r="O67" s="273"/>
      <c r="P67" s="407"/>
      <c r="Q67" s="407"/>
      <c r="R67" s="37">
        <v>8</v>
      </c>
      <c r="S67" s="38">
        <f t="shared" si="10"/>
        <v>24300</v>
      </c>
      <c r="T67" s="38">
        <f t="shared" si="11"/>
        <v>24300</v>
      </c>
      <c r="U67" s="50"/>
      <c r="V67" s="37">
        <v>24300</v>
      </c>
      <c r="W67" s="70"/>
      <c r="X67" s="70"/>
    </row>
    <row r="68" spans="7:28">
      <c r="N68" s="274"/>
      <c r="O68" s="275"/>
      <c r="P68" s="501"/>
      <c r="Q68" s="407"/>
      <c r="R68" s="37">
        <v>9</v>
      </c>
      <c r="S68" s="38">
        <f t="shared" si="10"/>
        <v>21800</v>
      </c>
      <c r="T68" s="38">
        <f t="shared" si="11"/>
        <v>21800</v>
      </c>
      <c r="U68" s="277"/>
      <c r="V68" s="37">
        <v>21800</v>
      </c>
      <c r="W68" s="279"/>
      <c r="X68" s="279"/>
    </row>
    <row r="69" spans="7:28">
      <c r="R69" s="37">
        <v>10</v>
      </c>
      <c r="S69" s="38">
        <f t="shared" si="10"/>
        <v>19800</v>
      </c>
      <c r="T69" s="38">
        <f t="shared" si="11"/>
        <v>19800</v>
      </c>
      <c r="V69" s="37">
        <v>19800</v>
      </c>
    </row>
    <row r="70" spans="7:28">
      <c r="R70" s="37">
        <v>11</v>
      </c>
      <c r="S70" s="38">
        <f t="shared" si="10"/>
        <v>18100</v>
      </c>
      <c r="T70" s="38">
        <f t="shared" si="11"/>
        <v>18100</v>
      </c>
      <c r="U70" s="70"/>
      <c r="V70" s="37">
        <v>18100</v>
      </c>
      <c r="W70" s="50"/>
      <c r="X70" s="50"/>
      <c r="Y70" s="50"/>
      <c r="Z70" s="542"/>
      <c r="AA70" s="407"/>
      <c r="AB70" s="407"/>
    </row>
    <row r="71" spans="7:28">
      <c r="R71" s="37">
        <v>12</v>
      </c>
      <c r="S71" s="38">
        <f t="shared" si="10"/>
        <v>16700</v>
      </c>
      <c r="T71" s="38">
        <f t="shared" si="11"/>
        <v>16700</v>
      </c>
      <c r="U71" s="70"/>
      <c r="V71" s="37">
        <v>16700</v>
      </c>
      <c r="W71" s="50"/>
      <c r="X71" s="50"/>
      <c r="Y71" s="50"/>
      <c r="Z71" s="407"/>
      <c r="AA71" s="407"/>
      <c r="AB71" s="407"/>
    </row>
    <row r="72" spans="7:28">
      <c r="R72" s="37">
        <v>13</v>
      </c>
      <c r="S72" s="38">
        <f t="shared" si="10"/>
        <v>15500</v>
      </c>
      <c r="T72" s="38">
        <f t="shared" si="11"/>
        <v>15500</v>
      </c>
      <c r="U72" s="276"/>
      <c r="V72" s="37">
        <v>15500</v>
      </c>
      <c r="W72" s="278"/>
      <c r="X72" s="540"/>
      <c r="Y72" s="407"/>
      <c r="Z72" s="541"/>
      <c r="AA72" s="407"/>
      <c r="AB72" s="407"/>
    </row>
    <row r="73" spans="7:28">
      <c r="R73" s="37">
        <v>14</v>
      </c>
      <c r="S73" s="38">
        <f t="shared" si="10"/>
        <v>14400</v>
      </c>
      <c r="T73" s="38">
        <f t="shared" si="11"/>
        <v>14400</v>
      </c>
      <c r="V73" s="37">
        <v>14400</v>
      </c>
    </row>
    <row r="74" spans="7:28">
      <c r="R74" s="37">
        <v>15</v>
      </c>
      <c r="S74" s="38">
        <f t="shared" si="10"/>
        <v>13500</v>
      </c>
      <c r="T74" s="38">
        <f t="shared" si="11"/>
        <v>13500</v>
      </c>
      <c r="V74" s="37">
        <v>13500</v>
      </c>
    </row>
    <row r="75" spans="7:28">
      <c r="R75" s="37">
        <v>16</v>
      </c>
      <c r="S75" s="38">
        <f t="shared" si="10"/>
        <v>12700</v>
      </c>
      <c r="T75" s="38">
        <f t="shared" si="11"/>
        <v>12700</v>
      </c>
      <c r="V75" s="37">
        <v>12700</v>
      </c>
    </row>
    <row r="76" spans="7:28">
      <c r="R76" s="37">
        <v>17</v>
      </c>
      <c r="S76" s="38">
        <f t="shared" si="10"/>
        <v>12000</v>
      </c>
      <c r="T76" s="38">
        <f t="shared" si="11"/>
        <v>12000</v>
      </c>
      <c r="V76" s="37">
        <v>12000</v>
      </c>
    </row>
    <row r="77" spans="7:28">
      <c r="R77" s="37">
        <v>18</v>
      </c>
      <c r="S77" s="38">
        <f t="shared" si="10"/>
        <v>11400</v>
      </c>
      <c r="T77" s="38">
        <f t="shared" si="11"/>
        <v>11400</v>
      </c>
      <c r="V77" s="37">
        <v>11400</v>
      </c>
    </row>
    <row r="78" spans="7:28">
      <c r="R78" s="37">
        <v>19</v>
      </c>
      <c r="S78" s="38">
        <f t="shared" si="10"/>
        <v>10900</v>
      </c>
      <c r="T78" s="38">
        <f t="shared" si="11"/>
        <v>10900</v>
      </c>
      <c r="V78" s="37">
        <v>10900</v>
      </c>
    </row>
    <row r="79" spans="7:28">
      <c r="G79" s="409"/>
      <c r="H79" s="407"/>
      <c r="I79" s="494"/>
      <c r="J79" s="107"/>
      <c r="K79" s="107"/>
      <c r="L79" s="107"/>
      <c r="M79" s="409"/>
      <c r="N79" s="407"/>
      <c r="O79" s="494"/>
      <c r="R79" s="37">
        <v>20</v>
      </c>
      <c r="S79" s="38">
        <f t="shared" si="10"/>
        <v>10400</v>
      </c>
      <c r="T79" s="38">
        <f t="shared" si="11"/>
        <v>10400</v>
      </c>
      <c r="V79" s="37">
        <v>10400</v>
      </c>
    </row>
    <row r="80" spans="7:28">
      <c r="G80" s="107"/>
      <c r="H80" s="107"/>
      <c r="I80" s="407"/>
      <c r="J80" s="107"/>
      <c r="K80" s="107"/>
      <c r="L80" s="107"/>
      <c r="M80" s="107"/>
      <c r="N80" s="107"/>
      <c r="O80" s="407"/>
      <c r="R80" s="37">
        <v>21</v>
      </c>
      <c r="S80" s="38">
        <f t="shared" si="10"/>
        <v>10000</v>
      </c>
      <c r="T80" s="38">
        <f t="shared" si="11"/>
        <v>10000</v>
      </c>
      <c r="V80" s="37">
        <v>10000</v>
      </c>
    </row>
    <row r="81" spans="3:22">
      <c r="R81" s="37">
        <v>22</v>
      </c>
      <c r="S81" s="38">
        <f t="shared" si="10"/>
        <v>9600</v>
      </c>
      <c r="T81" s="38">
        <f t="shared" si="11"/>
        <v>9600</v>
      </c>
      <c r="V81" s="37">
        <v>9600</v>
      </c>
    </row>
    <row r="82" spans="3:22" ht="14.25" customHeight="1">
      <c r="C82" s="107"/>
      <c r="R82" s="37">
        <v>23</v>
      </c>
      <c r="S82" s="38">
        <f t="shared" si="10"/>
        <v>9300</v>
      </c>
      <c r="T82" s="38">
        <f t="shared" si="11"/>
        <v>9300</v>
      </c>
      <c r="V82" s="37">
        <v>9300</v>
      </c>
    </row>
    <row r="83" spans="3:22">
      <c r="R83" s="37">
        <v>24</v>
      </c>
      <c r="S83" s="38">
        <f t="shared" si="10"/>
        <v>9000</v>
      </c>
      <c r="T83" s="38">
        <f t="shared" si="11"/>
        <v>9000</v>
      </c>
      <c r="V83" s="37">
        <v>9000</v>
      </c>
    </row>
    <row r="84" spans="3:22">
      <c r="R84" s="37">
        <v>25</v>
      </c>
      <c r="S84" s="38">
        <f t="shared" si="10"/>
        <v>8700</v>
      </c>
      <c r="T84" s="38">
        <f t="shared" si="11"/>
        <v>8700</v>
      </c>
      <c r="V84" s="37">
        <v>8700</v>
      </c>
    </row>
    <row r="85" spans="3:22">
      <c r="R85" s="37">
        <v>26</v>
      </c>
      <c r="S85" s="38">
        <f t="shared" si="10"/>
        <v>8400</v>
      </c>
      <c r="T85" s="38">
        <f t="shared" si="11"/>
        <v>8400</v>
      </c>
      <c r="V85" s="37">
        <v>8400</v>
      </c>
    </row>
    <row r="86" spans="3:22" ht="13.5" customHeight="1" thickBot="1">
      <c r="R86" s="37">
        <v>27</v>
      </c>
      <c r="S86" s="38">
        <f t="shared" si="10"/>
        <v>8100</v>
      </c>
      <c r="T86" s="38">
        <f t="shared" si="11"/>
        <v>8100</v>
      </c>
      <c r="V86" s="37">
        <v>8100</v>
      </c>
    </row>
    <row r="87" spans="3:22" ht="16.5" customHeight="1">
      <c r="G87" s="538" t="s">
        <v>161</v>
      </c>
      <c r="H87" s="498"/>
      <c r="I87" s="539" t="s">
        <v>162</v>
      </c>
      <c r="J87" s="89"/>
      <c r="K87" s="89"/>
      <c r="L87" s="89"/>
      <c r="M87" s="537" t="s">
        <v>163</v>
      </c>
      <c r="N87" s="498"/>
      <c r="O87" s="536" t="s">
        <v>164</v>
      </c>
      <c r="R87" s="37">
        <v>28</v>
      </c>
      <c r="S87" s="38">
        <f t="shared" si="10"/>
        <v>7800</v>
      </c>
      <c r="T87" s="38">
        <f t="shared" si="11"/>
        <v>7800</v>
      </c>
      <c r="V87" s="37">
        <v>7800</v>
      </c>
    </row>
    <row r="88" spans="3:22" ht="15" customHeight="1">
      <c r="G88" s="286" t="s">
        <v>165</v>
      </c>
      <c r="H88" s="57" t="s">
        <v>166</v>
      </c>
      <c r="I88" s="508"/>
      <c r="J88" s="57"/>
      <c r="K88" s="57"/>
      <c r="L88" s="57"/>
      <c r="M88" s="57" t="s">
        <v>165</v>
      </c>
      <c r="N88" s="57" t="s">
        <v>166</v>
      </c>
      <c r="O88" s="490"/>
      <c r="R88" s="37">
        <v>29</v>
      </c>
      <c r="S88" s="38">
        <f t="shared" si="10"/>
        <v>7500</v>
      </c>
      <c r="T88" s="38">
        <f t="shared" si="11"/>
        <v>7500</v>
      </c>
      <c r="V88" s="37">
        <v>7500</v>
      </c>
    </row>
    <row r="89" spans="3:22" ht="18.75" customHeight="1" thickBot="1">
      <c r="G89" s="290">
        <f>E28</f>
        <v>0</v>
      </c>
      <c r="H89" s="291">
        <f>F28</f>
        <v>0</v>
      </c>
      <c r="I89" s="288">
        <f>SUM(F44,R44)</f>
        <v>0</v>
      </c>
      <c r="J89" s="287"/>
      <c r="K89" s="287"/>
      <c r="L89" s="287"/>
      <c r="M89" s="303">
        <f>G28</f>
        <v>0</v>
      </c>
      <c r="N89" s="291">
        <f>H28</f>
        <v>0</v>
      </c>
      <c r="O89" s="289">
        <f>SUM(H44,T44)</f>
        <v>0</v>
      </c>
      <c r="R89" s="39">
        <v>30</v>
      </c>
      <c r="S89" s="38">
        <f t="shared" si="10"/>
        <v>7200</v>
      </c>
      <c r="T89" s="38">
        <f t="shared" si="11"/>
        <v>7200</v>
      </c>
      <c r="V89" s="37">
        <v>7200</v>
      </c>
    </row>
    <row r="90" spans="3:22">
      <c r="R90" s="39">
        <v>31</v>
      </c>
      <c r="S90" s="38">
        <f t="shared" si="10"/>
        <v>6900</v>
      </c>
      <c r="T90" s="38">
        <f t="shared" si="11"/>
        <v>6900</v>
      </c>
      <c r="V90" s="37">
        <v>6900</v>
      </c>
    </row>
    <row r="91" spans="3:22">
      <c r="R91" s="37">
        <v>32</v>
      </c>
      <c r="S91" s="38">
        <f t="shared" si="10"/>
        <v>6600</v>
      </c>
      <c r="T91" s="38">
        <f t="shared" si="11"/>
        <v>6600</v>
      </c>
      <c r="V91" s="37">
        <v>6600</v>
      </c>
    </row>
    <row r="92" spans="3:22">
      <c r="R92" s="37">
        <v>33</v>
      </c>
      <c r="S92" s="38">
        <f t="shared" si="10"/>
        <v>6300</v>
      </c>
      <c r="T92" s="38">
        <f t="shared" si="11"/>
        <v>6300</v>
      </c>
      <c r="V92" s="37">
        <v>6300</v>
      </c>
    </row>
    <row r="93" spans="3:22">
      <c r="R93" s="37">
        <v>34</v>
      </c>
      <c r="S93" s="38">
        <f t="shared" si="10"/>
        <v>6000</v>
      </c>
      <c r="T93" s="38">
        <f t="shared" si="11"/>
        <v>6000</v>
      </c>
      <c r="V93" s="37">
        <v>6000</v>
      </c>
    </row>
    <row r="94" spans="3:22">
      <c r="R94" s="37">
        <v>35</v>
      </c>
      <c r="S94" s="38">
        <f t="shared" si="10"/>
        <v>5800</v>
      </c>
      <c r="T94" s="38">
        <f t="shared" si="11"/>
        <v>5800</v>
      </c>
      <c r="V94" s="37">
        <v>5800</v>
      </c>
    </row>
    <row r="95" spans="3:22">
      <c r="R95" s="37">
        <v>36</v>
      </c>
      <c r="S95" s="38">
        <f t="shared" si="10"/>
        <v>5600</v>
      </c>
      <c r="T95" s="38">
        <f t="shared" si="11"/>
        <v>5600</v>
      </c>
      <c r="V95" s="37">
        <v>5600</v>
      </c>
    </row>
    <row r="96" spans="3:22">
      <c r="R96" s="37">
        <v>37</v>
      </c>
      <c r="S96" s="38">
        <f t="shared" si="10"/>
        <v>5400</v>
      </c>
      <c r="T96" s="38">
        <f t="shared" si="11"/>
        <v>5400</v>
      </c>
      <c r="V96" s="37">
        <v>5400</v>
      </c>
    </row>
    <row r="97" spans="18:22">
      <c r="R97" s="37">
        <v>38</v>
      </c>
      <c r="S97" s="38">
        <f t="shared" si="10"/>
        <v>5200</v>
      </c>
      <c r="T97" s="38">
        <f t="shared" si="11"/>
        <v>5200</v>
      </c>
      <c r="V97" s="37">
        <v>5200</v>
      </c>
    </row>
    <row r="98" spans="18:22">
      <c r="R98" s="37">
        <v>39</v>
      </c>
      <c r="S98" s="38">
        <f t="shared" si="10"/>
        <v>5000</v>
      </c>
      <c r="T98" s="38">
        <f t="shared" si="11"/>
        <v>5000</v>
      </c>
      <c r="V98" s="37">
        <v>5000</v>
      </c>
    </row>
    <row r="99" spans="18:22">
      <c r="R99" s="37">
        <v>40</v>
      </c>
      <c r="S99" s="38">
        <f t="shared" si="10"/>
        <v>4800</v>
      </c>
      <c r="T99" s="38">
        <f t="shared" si="11"/>
        <v>4800</v>
      </c>
      <c r="V99" s="37">
        <v>4800</v>
      </c>
    </row>
    <row r="100" spans="18:22">
      <c r="R100" s="37">
        <v>41</v>
      </c>
      <c r="S100" s="38">
        <f t="shared" si="10"/>
        <v>4600</v>
      </c>
      <c r="T100" s="38">
        <f t="shared" si="11"/>
        <v>4600</v>
      </c>
      <c r="V100" s="37">
        <v>4600</v>
      </c>
    </row>
    <row r="101" spans="18:22">
      <c r="R101" s="37">
        <v>42</v>
      </c>
      <c r="S101" s="38">
        <f t="shared" si="10"/>
        <v>4400</v>
      </c>
      <c r="T101" s="38">
        <f t="shared" si="11"/>
        <v>4400</v>
      </c>
      <c r="V101" s="37">
        <v>4400</v>
      </c>
    </row>
    <row r="102" spans="18:22">
      <c r="R102" s="37">
        <v>43</v>
      </c>
      <c r="S102" s="38">
        <f t="shared" si="10"/>
        <v>4200</v>
      </c>
      <c r="T102" s="38">
        <f t="shared" si="11"/>
        <v>4200</v>
      </c>
      <c r="V102" s="37">
        <v>4200</v>
      </c>
    </row>
    <row r="103" spans="18:22">
      <c r="R103" s="37">
        <v>44</v>
      </c>
      <c r="S103" s="38">
        <f t="shared" si="10"/>
        <v>4000</v>
      </c>
      <c r="T103" s="38">
        <f t="shared" si="11"/>
        <v>4000</v>
      </c>
      <c r="V103" s="37">
        <v>4000</v>
      </c>
    </row>
    <row r="104" spans="18:22">
      <c r="R104" s="37">
        <v>45</v>
      </c>
      <c r="S104" s="38">
        <f t="shared" si="10"/>
        <v>3800</v>
      </c>
      <c r="T104" s="38">
        <f t="shared" si="11"/>
        <v>3800</v>
      </c>
      <c r="V104" s="37">
        <v>3800</v>
      </c>
    </row>
    <row r="105" spans="18:22">
      <c r="R105" s="37">
        <v>46</v>
      </c>
      <c r="S105" s="38">
        <f t="shared" si="10"/>
        <v>3600</v>
      </c>
      <c r="T105" s="38">
        <f t="shared" si="11"/>
        <v>3600</v>
      </c>
      <c r="V105" s="37">
        <v>3600</v>
      </c>
    </row>
    <row r="106" spans="18:22">
      <c r="R106" s="37">
        <v>47</v>
      </c>
      <c r="S106" s="38">
        <f t="shared" si="10"/>
        <v>3400</v>
      </c>
      <c r="T106" s="38">
        <f t="shared" si="11"/>
        <v>3400</v>
      </c>
      <c r="V106" s="37">
        <v>3400</v>
      </c>
    </row>
    <row r="107" spans="18:22">
      <c r="R107" s="37">
        <v>48</v>
      </c>
      <c r="S107" s="38">
        <f t="shared" si="10"/>
        <v>3200</v>
      </c>
      <c r="T107" s="38">
        <f t="shared" si="11"/>
        <v>3200</v>
      </c>
      <c r="V107" s="37">
        <v>3200</v>
      </c>
    </row>
    <row r="108" spans="18:22">
      <c r="R108" s="37">
        <v>49</v>
      </c>
      <c r="S108" s="38">
        <f t="shared" si="10"/>
        <v>3000</v>
      </c>
      <c r="T108" s="38">
        <f t="shared" si="11"/>
        <v>3000</v>
      </c>
      <c r="V108" s="37">
        <v>3000</v>
      </c>
    </row>
    <row r="109" spans="18:22">
      <c r="R109" s="37">
        <v>50</v>
      </c>
      <c r="S109" s="38">
        <f t="shared" si="10"/>
        <v>2700</v>
      </c>
      <c r="T109" s="38">
        <f t="shared" si="11"/>
        <v>2700</v>
      </c>
      <c r="V109" s="37">
        <v>2700</v>
      </c>
    </row>
    <row r="110" spans="18:22">
      <c r="R110" s="37">
        <v>51</v>
      </c>
      <c r="S110" s="38">
        <f t="shared" si="10"/>
        <v>2400</v>
      </c>
      <c r="T110" s="38">
        <f t="shared" si="11"/>
        <v>2400</v>
      </c>
      <c r="V110" s="37">
        <v>2400</v>
      </c>
    </row>
    <row r="111" spans="18:22">
      <c r="R111" s="37">
        <v>52</v>
      </c>
      <c r="S111" s="38">
        <f t="shared" si="10"/>
        <v>2100</v>
      </c>
      <c r="T111" s="38">
        <f t="shared" si="11"/>
        <v>2100</v>
      </c>
      <c r="V111" s="37">
        <v>2100</v>
      </c>
    </row>
    <row r="112" spans="18:22">
      <c r="R112" s="37">
        <v>53</v>
      </c>
      <c r="S112" s="38">
        <f t="shared" si="10"/>
        <v>1800</v>
      </c>
      <c r="T112" s="38">
        <f t="shared" si="11"/>
        <v>1800</v>
      </c>
      <c r="V112" s="37">
        <v>1800</v>
      </c>
    </row>
  </sheetData>
  <mergeCells count="130">
    <mergeCell ref="M79:N79"/>
    <mergeCell ref="B36:E36"/>
    <mergeCell ref="T42:U42"/>
    <mergeCell ref="N49:Q49"/>
    <mergeCell ref="H39:I39"/>
    <mergeCell ref="N36:Q36"/>
    <mergeCell ref="T44:U44"/>
    <mergeCell ref="B3:H3"/>
    <mergeCell ref="F61:Q61"/>
    <mergeCell ref="T32:U33"/>
    <mergeCell ref="N53:Q53"/>
    <mergeCell ref="W34:X35"/>
    <mergeCell ref="B39:E39"/>
    <mergeCell ref="H37:I37"/>
    <mergeCell ref="R41:S41"/>
    <mergeCell ref="T41:U41"/>
    <mergeCell ref="F43:G43"/>
    <mergeCell ref="R43:S43"/>
    <mergeCell ref="T43:U43"/>
    <mergeCell ref="E14:H14"/>
    <mergeCell ref="W30:Z30"/>
    <mergeCell ref="H35:I35"/>
    <mergeCell ref="R44:S44"/>
    <mergeCell ref="N34:Q34"/>
    <mergeCell ref="C28:D28"/>
    <mergeCell ref="N38:Q38"/>
    <mergeCell ref="N32:Q33"/>
    <mergeCell ref="Z72:AB72"/>
    <mergeCell ref="H46:I47"/>
    <mergeCell ref="B40:E40"/>
    <mergeCell ref="B49:E49"/>
    <mergeCell ref="N40:Q40"/>
    <mergeCell ref="F34:G34"/>
    <mergeCell ref="H41:I41"/>
    <mergeCell ref="B51:E51"/>
    <mergeCell ref="P66:Q67"/>
    <mergeCell ref="F32:G33"/>
    <mergeCell ref="H38:I38"/>
    <mergeCell ref="H43:I43"/>
    <mergeCell ref="T38:U38"/>
    <mergeCell ref="B55:E55"/>
    <mergeCell ref="H40:I40"/>
    <mergeCell ref="Z70:AB71"/>
    <mergeCell ref="H32:I33"/>
    <mergeCell ref="B54:E54"/>
    <mergeCell ref="F36:G36"/>
    <mergeCell ref="B62:I62"/>
    <mergeCell ref="N66:O66"/>
    <mergeCell ref="F39:G39"/>
    <mergeCell ref="N52:Q52"/>
    <mergeCell ref="B53:E53"/>
    <mergeCell ref="N39:Q39"/>
    <mergeCell ref="T37:U37"/>
    <mergeCell ref="N44:Q44"/>
    <mergeCell ref="F44:G44"/>
    <mergeCell ref="B37:E37"/>
    <mergeCell ref="X72:Y72"/>
    <mergeCell ref="B38:E38"/>
    <mergeCell ref="B57:E57"/>
    <mergeCell ref="P68:Q68"/>
    <mergeCell ref="H42:I42"/>
    <mergeCell ref="B44:E44"/>
    <mergeCell ref="T34:U34"/>
    <mergeCell ref="B34:E34"/>
    <mergeCell ref="R39:S39"/>
    <mergeCell ref="T39:U39"/>
    <mergeCell ref="I87:I88"/>
    <mergeCell ref="T35:U35"/>
    <mergeCell ref="R34:S34"/>
    <mergeCell ref="B41:E41"/>
    <mergeCell ref="H34:I34"/>
    <mergeCell ref="B35:E35"/>
    <mergeCell ref="B50:E50"/>
    <mergeCell ref="N35:Q35"/>
    <mergeCell ref="F42:G42"/>
    <mergeCell ref="R36:S36"/>
    <mergeCell ref="H36:I36"/>
    <mergeCell ref="N50:Q50"/>
    <mergeCell ref="S46:S48"/>
    <mergeCell ref="N51:Q51"/>
    <mergeCell ref="R42:S42"/>
    <mergeCell ref="N42:Q42"/>
    <mergeCell ref="O87:O88"/>
    <mergeCell ref="N59:Q59"/>
    <mergeCell ref="Y34:Z35"/>
    <mergeCell ref="R38:S38"/>
    <mergeCell ref="F46:F48"/>
    <mergeCell ref="R32:S33"/>
    <mergeCell ref="H44:I44"/>
    <mergeCell ref="R46:R48"/>
    <mergeCell ref="F40:G40"/>
    <mergeCell ref="R40:S40"/>
    <mergeCell ref="O79:O80"/>
    <mergeCell ref="W32:X33"/>
    <mergeCell ref="M87:N87"/>
    <mergeCell ref="Y32:Z33"/>
    <mergeCell ref="N54:Q54"/>
    <mergeCell ref="G46:G48"/>
    <mergeCell ref="N41:Q41"/>
    <mergeCell ref="R35:S35"/>
    <mergeCell ref="G87:H87"/>
    <mergeCell ref="T40:U40"/>
    <mergeCell ref="I79:I80"/>
    <mergeCell ref="N56:Q56"/>
    <mergeCell ref="N43:Q43"/>
    <mergeCell ref="G79:H79"/>
    <mergeCell ref="C1:G1"/>
    <mergeCell ref="N55:Q55"/>
    <mergeCell ref="R37:S37"/>
    <mergeCell ref="T46:U47"/>
    <mergeCell ref="B59:E59"/>
    <mergeCell ref="F41:G41"/>
    <mergeCell ref="F35:G35"/>
    <mergeCell ref="N37:Q37"/>
    <mergeCell ref="J13:M13"/>
    <mergeCell ref="F38:G38"/>
    <mergeCell ref="B46:E48"/>
    <mergeCell ref="N46:Q48"/>
    <mergeCell ref="F37:G37"/>
    <mergeCell ref="B32:E33"/>
    <mergeCell ref="B30:I30"/>
    <mergeCell ref="N58:Q58"/>
    <mergeCell ref="N30:U30"/>
    <mergeCell ref="T36:U36"/>
    <mergeCell ref="N57:Q57"/>
    <mergeCell ref="B56:E56"/>
    <mergeCell ref="B43:E43"/>
    <mergeCell ref="B58:E58"/>
    <mergeCell ref="B52:E52"/>
    <mergeCell ref="B42:E42"/>
  </mergeCells>
  <conditionalFormatting sqref="N16:Q25">
    <cfRule type="cellIs" dxfId="0" priority="1" operator="greaterThan">
      <formula>0</formula>
    </cfRule>
  </conditionalFormatting>
  <pageMargins left="0.39" right="0.44" top="0.26" bottom="0.25" header="0.23" footer="0.21"/>
  <pageSetup paperSize="9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theme="9" tint="-0.249977111117893"/>
  </sheetPr>
  <dimension ref="A1:AC74"/>
  <sheetViews>
    <sheetView workbookViewId="0">
      <selection activeCell="AB18" sqref="AB18"/>
    </sheetView>
  </sheetViews>
  <sheetFormatPr defaultColWidth="4.109375" defaultRowHeight="13.2"/>
  <sheetData>
    <row r="1" spans="1:29">
      <c r="A1" s="377" t="s">
        <v>124</v>
      </c>
      <c r="B1" s="369"/>
      <c r="C1" s="369"/>
      <c r="D1" s="369"/>
      <c r="E1" s="369"/>
      <c r="F1" s="369"/>
      <c r="G1" s="369"/>
      <c r="H1" s="369"/>
      <c r="I1" s="369"/>
      <c r="J1" s="371"/>
      <c r="K1" s="369"/>
      <c r="L1" s="369"/>
      <c r="M1" s="369"/>
      <c r="N1" s="372"/>
      <c r="P1" s="377" t="s">
        <v>125</v>
      </c>
      <c r="Q1" s="369"/>
      <c r="R1" s="369"/>
      <c r="S1" s="369"/>
      <c r="T1" s="369"/>
      <c r="U1" s="369"/>
      <c r="V1" s="369"/>
      <c r="W1" s="369"/>
      <c r="X1" s="369"/>
      <c r="Y1" s="371"/>
      <c r="Z1" s="369"/>
      <c r="AA1" s="369"/>
      <c r="AB1" s="369"/>
      <c r="AC1" s="372"/>
    </row>
    <row r="2" spans="1:29">
      <c r="A2" s="373"/>
      <c r="N2" s="374"/>
      <c r="P2" s="373"/>
      <c r="AC2" s="374"/>
    </row>
    <row r="3" spans="1:29">
      <c r="A3" s="373"/>
      <c r="N3" s="374"/>
      <c r="P3" s="373"/>
      <c r="AC3" s="374"/>
    </row>
    <row r="4" spans="1:29">
      <c r="A4" s="373"/>
      <c r="N4" s="374"/>
      <c r="P4" s="373"/>
      <c r="AC4" s="374"/>
    </row>
    <row r="5" spans="1:29">
      <c r="A5" s="373"/>
      <c r="N5" s="374"/>
      <c r="P5" s="373"/>
      <c r="AC5" s="374"/>
    </row>
    <row r="6" spans="1:29">
      <c r="A6" s="373"/>
      <c r="N6" s="374"/>
      <c r="P6" s="373"/>
      <c r="AC6" s="374"/>
    </row>
    <row r="7" spans="1:29">
      <c r="A7" s="373"/>
      <c r="N7" s="374"/>
      <c r="P7" s="373"/>
      <c r="AC7" s="374"/>
    </row>
    <row r="8" spans="1:29">
      <c r="A8" s="373"/>
      <c r="N8" s="374"/>
      <c r="P8" s="373"/>
      <c r="AC8" s="374"/>
    </row>
    <row r="9" spans="1:29">
      <c r="A9" s="373"/>
      <c r="N9" s="374"/>
      <c r="P9" s="373"/>
      <c r="AC9" s="374"/>
    </row>
    <row r="10" spans="1:29">
      <c r="A10" s="373"/>
      <c r="N10" s="374"/>
      <c r="P10" s="373"/>
      <c r="AC10" s="374"/>
    </row>
    <row r="11" spans="1:29">
      <c r="A11" s="373"/>
      <c r="N11" s="374"/>
      <c r="P11" s="373"/>
      <c r="AC11" s="374"/>
    </row>
    <row r="12" spans="1:29">
      <c r="A12" s="373"/>
      <c r="N12" s="374"/>
      <c r="P12" s="373"/>
      <c r="AC12" s="374"/>
    </row>
    <row r="13" spans="1:29">
      <c r="A13" s="373"/>
      <c r="N13" s="374"/>
      <c r="P13" s="373"/>
      <c r="AC13" s="374"/>
    </row>
    <row r="14" spans="1:29">
      <c r="A14" s="373"/>
      <c r="N14" s="374"/>
      <c r="P14" s="373"/>
      <c r="AC14" s="374"/>
    </row>
    <row r="15" spans="1:29">
      <c r="A15" s="373"/>
      <c r="N15" s="374"/>
      <c r="P15" s="373"/>
      <c r="AC15" s="374"/>
    </row>
    <row r="16" spans="1:29">
      <c r="A16" s="373"/>
      <c r="N16" s="374"/>
      <c r="P16" s="373"/>
      <c r="AC16" s="374"/>
    </row>
    <row r="17" spans="1:29">
      <c r="A17" s="373"/>
      <c r="N17" s="374"/>
      <c r="P17" s="373"/>
      <c r="R17">
        <v>5</v>
      </c>
      <c r="S17">
        <v>4</v>
      </c>
      <c r="T17">
        <v>5</v>
      </c>
      <c r="U17">
        <v>6</v>
      </c>
      <c r="V17">
        <v>3</v>
      </c>
      <c r="W17">
        <v>2</v>
      </c>
      <c r="X17">
        <v>1</v>
      </c>
      <c r="Y17">
        <v>4</v>
      </c>
      <c r="Z17">
        <v>58</v>
      </c>
      <c r="AA17">
        <v>7</v>
      </c>
      <c r="AB17">
        <v>2</v>
      </c>
      <c r="AC17" s="374"/>
    </row>
    <row r="18" spans="1:29">
      <c r="A18" s="373"/>
      <c r="N18" s="374"/>
      <c r="P18" s="373"/>
      <c r="R18">
        <v>6</v>
      </c>
      <c r="AC18" s="374"/>
    </row>
    <row r="19" spans="1:29">
      <c r="A19" s="373"/>
      <c r="N19" s="374"/>
      <c r="P19" s="373"/>
      <c r="R19">
        <v>7</v>
      </c>
      <c r="AC19" s="374"/>
    </row>
    <row r="20" spans="1:29">
      <c r="A20" s="373"/>
      <c r="N20" s="374"/>
      <c r="P20" s="373"/>
      <c r="R20">
        <v>8</v>
      </c>
      <c r="AC20" s="374"/>
    </row>
    <row r="21" spans="1:29">
      <c r="A21" s="373"/>
      <c r="N21" s="374"/>
      <c r="P21" s="373"/>
      <c r="AC21" s="374"/>
    </row>
    <row r="22" spans="1:29">
      <c r="A22" s="373"/>
      <c r="N22" s="374"/>
      <c r="P22" s="373"/>
      <c r="AC22" s="374"/>
    </row>
    <row r="23" spans="1:29">
      <c r="A23" s="373"/>
      <c r="N23" s="374"/>
      <c r="P23" s="373"/>
      <c r="AC23" s="374"/>
    </row>
    <row r="24" spans="1:29" ht="13.5" customHeight="1" thickBot="1">
      <c r="A24" s="375"/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6"/>
      <c r="P24" s="375"/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6"/>
    </row>
    <row r="25" spans="1:29" ht="13.5" customHeight="1" thickBot="1"/>
    <row r="26" spans="1:29">
      <c r="A26" s="377" t="s">
        <v>126</v>
      </c>
      <c r="B26" s="369"/>
      <c r="C26" s="369"/>
      <c r="D26" s="369"/>
      <c r="E26" s="369"/>
      <c r="F26" s="369"/>
      <c r="G26" s="369"/>
      <c r="H26" s="369"/>
      <c r="I26" s="369"/>
      <c r="J26" s="371"/>
      <c r="K26" s="369"/>
      <c r="L26" s="369"/>
      <c r="M26" s="369"/>
      <c r="N26" s="372"/>
      <c r="P26" s="377" t="s">
        <v>127</v>
      </c>
      <c r="Q26" s="369"/>
      <c r="R26" s="369"/>
      <c r="S26" s="369"/>
      <c r="T26" s="369"/>
      <c r="U26" s="369"/>
      <c r="V26" s="369"/>
      <c r="W26" s="369"/>
      <c r="X26" s="369"/>
      <c r="Y26" s="371"/>
      <c r="Z26" s="369"/>
      <c r="AA26" s="369"/>
      <c r="AB26" s="369"/>
      <c r="AC26" s="372"/>
    </row>
    <row r="27" spans="1:29">
      <c r="A27" s="373"/>
      <c r="N27" s="374"/>
      <c r="P27" s="373"/>
      <c r="AC27" s="374"/>
    </row>
    <row r="28" spans="1:29">
      <c r="A28" s="373"/>
      <c r="N28" s="374"/>
      <c r="P28" s="373"/>
      <c r="AC28" s="374"/>
    </row>
    <row r="29" spans="1:29">
      <c r="A29" s="373"/>
      <c r="N29" s="374"/>
      <c r="P29" s="373"/>
      <c r="AC29" s="374"/>
    </row>
    <row r="30" spans="1:29">
      <c r="A30" s="373"/>
      <c r="N30" s="374"/>
      <c r="P30" s="373"/>
      <c r="AC30" s="374"/>
    </row>
    <row r="31" spans="1:29">
      <c r="A31" s="373"/>
      <c r="N31" s="374"/>
      <c r="P31" s="373"/>
      <c r="AC31" s="374"/>
    </row>
    <row r="32" spans="1:29">
      <c r="A32" s="373"/>
      <c r="N32" s="374"/>
      <c r="P32" s="373"/>
      <c r="AC32" s="374"/>
    </row>
    <row r="33" spans="1:29">
      <c r="A33" s="373"/>
      <c r="N33" s="374"/>
      <c r="P33" s="373"/>
      <c r="AC33" s="374"/>
    </row>
    <row r="34" spans="1:29">
      <c r="A34" s="373"/>
      <c r="N34" s="374"/>
      <c r="P34" s="373"/>
      <c r="AC34" s="374"/>
    </row>
    <row r="35" spans="1:29">
      <c r="A35" s="373"/>
      <c r="N35" s="374"/>
      <c r="P35" s="373"/>
      <c r="AC35" s="374"/>
    </row>
    <row r="36" spans="1:29">
      <c r="A36" s="373"/>
      <c r="N36" s="374"/>
      <c r="P36" s="373"/>
      <c r="AC36" s="374"/>
    </row>
    <row r="37" spans="1:29">
      <c r="A37" s="373"/>
      <c r="N37" s="374"/>
      <c r="P37" s="373"/>
      <c r="AC37" s="374"/>
    </row>
    <row r="38" spans="1:29">
      <c r="A38" s="373"/>
      <c r="N38" s="374"/>
      <c r="P38" s="373"/>
      <c r="AC38" s="374"/>
    </row>
    <row r="39" spans="1:29">
      <c r="A39" s="373"/>
      <c r="N39" s="374"/>
      <c r="P39" s="373"/>
      <c r="AC39" s="374"/>
    </row>
    <row r="40" spans="1:29">
      <c r="A40" s="373"/>
      <c r="N40" s="374"/>
      <c r="P40" s="373"/>
      <c r="AC40" s="374"/>
    </row>
    <row r="41" spans="1:29">
      <c r="A41" s="373"/>
      <c r="N41" s="374"/>
      <c r="P41" s="373"/>
      <c r="AC41" s="374"/>
    </row>
    <row r="42" spans="1:29">
      <c r="A42" s="373"/>
      <c r="N42" s="374"/>
      <c r="P42" s="373"/>
      <c r="AC42" s="374"/>
    </row>
    <row r="43" spans="1:29">
      <c r="A43" s="373"/>
      <c r="N43" s="374"/>
      <c r="P43" s="373"/>
      <c r="AC43" s="374"/>
    </row>
    <row r="44" spans="1:29">
      <c r="A44" s="373"/>
      <c r="N44" s="374"/>
      <c r="P44" s="373"/>
      <c r="AC44" s="374"/>
    </row>
    <row r="45" spans="1:29">
      <c r="A45" s="373"/>
      <c r="N45" s="374"/>
      <c r="P45" s="373"/>
      <c r="AC45" s="374"/>
    </row>
    <row r="46" spans="1:29">
      <c r="A46" s="373"/>
      <c r="N46" s="374"/>
      <c r="P46" s="373"/>
      <c r="AC46" s="374"/>
    </row>
    <row r="47" spans="1:29">
      <c r="A47" s="373"/>
      <c r="N47" s="374"/>
      <c r="P47" s="373"/>
      <c r="AC47" s="374"/>
    </row>
    <row r="48" spans="1:29">
      <c r="A48" s="373"/>
      <c r="N48" s="374"/>
      <c r="P48" s="373"/>
      <c r="AC48" s="374"/>
    </row>
    <row r="49" spans="1:29" ht="13.5" customHeight="1" thickBot="1">
      <c r="A49" s="375"/>
      <c r="B49" s="370"/>
      <c r="C49" s="370"/>
      <c r="D49" s="370"/>
      <c r="E49" s="370"/>
      <c r="F49" s="370"/>
      <c r="G49" s="370"/>
      <c r="H49" s="370"/>
      <c r="I49" s="370"/>
      <c r="J49" s="370"/>
      <c r="K49" s="370"/>
      <c r="L49" s="370"/>
      <c r="M49" s="370"/>
      <c r="N49" s="376"/>
      <c r="P49" s="375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6"/>
    </row>
    <row r="50" spans="1:29" ht="13.5" customHeight="1" thickBot="1"/>
    <row r="51" spans="1:29">
      <c r="A51" s="377" t="s">
        <v>128</v>
      </c>
      <c r="B51" s="369"/>
      <c r="C51" s="369"/>
      <c r="D51" s="369"/>
      <c r="E51" s="369"/>
      <c r="F51" s="369"/>
      <c r="G51" s="369"/>
      <c r="H51" s="369"/>
      <c r="I51" s="369"/>
      <c r="J51" s="371"/>
      <c r="K51" s="369"/>
      <c r="L51" s="369"/>
      <c r="M51" s="369"/>
      <c r="N51" s="372"/>
      <c r="P51" s="377" t="s">
        <v>129</v>
      </c>
      <c r="Q51" s="369"/>
      <c r="R51" s="369"/>
      <c r="S51" s="369"/>
      <c r="T51" s="369"/>
      <c r="U51" s="369"/>
      <c r="V51" s="369"/>
      <c r="W51" s="369"/>
      <c r="X51" s="369"/>
      <c r="Y51" s="371"/>
      <c r="Z51" s="369"/>
      <c r="AA51" s="369"/>
      <c r="AB51" s="369"/>
      <c r="AC51" s="372"/>
    </row>
    <row r="52" spans="1:29">
      <c r="A52" s="373"/>
      <c r="N52" s="374"/>
      <c r="P52" s="373"/>
      <c r="AC52" s="374"/>
    </row>
    <row r="53" spans="1:29">
      <c r="A53" s="373"/>
      <c r="N53" s="374"/>
      <c r="P53" s="373"/>
      <c r="AC53" s="374"/>
    </row>
    <row r="54" spans="1:29">
      <c r="A54" s="373"/>
      <c r="N54" s="374"/>
      <c r="P54" s="373"/>
      <c r="AC54" s="374"/>
    </row>
    <row r="55" spans="1:29">
      <c r="A55" s="373"/>
      <c r="N55" s="374"/>
      <c r="P55" s="373"/>
      <c r="AC55" s="374"/>
    </row>
    <row r="56" spans="1:29">
      <c r="A56" s="373"/>
      <c r="N56" s="374"/>
      <c r="P56" s="373"/>
      <c r="AC56" s="374"/>
    </row>
    <row r="57" spans="1:29">
      <c r="A57" s="373"/>
      <c r="N57" s="374"/>
      <c r="P57" s="373"/>
      <c r="AC57" s="374"/>
    </row>
    <row r="58" spans="1:29">
      <c r="A58" s="373"/>
      <c r="N58" s="374"/>
      <c r="P58" s="373"/>
      <c r="AC58" s="374"/>
    </row>
    <row r="59" spans="1:29">
      <c r="A59" s="373"/>
      <c r="N59" s="374"/>
      <c r="P59" s="373"/>
      <c r="AC59" s="374"/>
    </row>
    <row r="60" spans="1:29">
      <c r="A60" s="373"/>
      <c r="N60" s="374"/>
      <c r="P60" s="373"/>
      <c r="AC60" s="374"/>
    </row>
    <row r="61" spans="1:29">
      <c r="A61" s="373"/>
      <c r="N61" s="374"/>
      <c r="P61" s="373"/>
      <c r="AC61" s="374"/>
    </row>
    <row r="62" spans="1:29">
      <c r="A62" s="373"/>
      <c r="N62" s="374"/>
      <c r="P62" s="373"/>
      <c r="AC62" s="374"/>
    </row>
    <row r="63" spans="1:29">
      <c r="A63" s="373"/>
      <c r="N63" s="374"/>
      <c r="P63" s="373"/>
      <c r="AC63" s="374"/>
    </row>
    <row r="64" spans="1:29">
      <c r="A64" s="373"/>
      <c r="N64" s="374"/>
      <c r="P64" s="373"/>
      <c r="AC64" s="374"/>
    </row>
    <row r="65" spans="1:29">
      <c r="A65" s="373"/>
      <c r="N65" s="374"/>
      <c r="P65" s="373"/>
      <c r="AC65" s="374"/>
    </row>
    <row r="66" spans="1:29">
      <c r="A66" s="373"/>
      <c r="N66" s="374"/>
      <c r="P66" s="373"/>
      <c r="AC66" s="374"/>
    </row>
    <row r="67" spans="1:29">
      <c r="A67" s="373"/>
      <c r="N67" s="374"/>
      <c r="P67" s="373"/>
      <c r="AC67" s="374"/>
    </row>
    <row r="68" spans="1:29">
      <c r="A68" s="373"/>
      <c r="N68" s="374"/>
      <c r="P68" s="373"/>
      <c r="AC68" s="374"/>
    </row>
    <row r="69" spans="1:29">
      <c r="A69" s="373"/>
      <c r="N69" s="374"/>
      <c r="P69" s="373"/>
      <c r="AC69" s="374"/>
    </row>
    <row r="70" spans="1:29">
      <c r="A70" s="373"/>
      <c r="N70" s="374"/>
      <c r="P70" s="373"/>
      <c r="AC70" s="374"/>
    </row>
    <row r="71" spans="1:29">
      <c r="A71" s="373"/>
      <c r="N71" s="374"/>
      <c r="P71" s="373"/>
      <c r="AC71" s="374"/>
    </row>
    <row r="72" spans="1:29">
      <c r="A72" s="373"/>
      <c r="N72" s="374"/>
      <c r="P72" s="373"/>
      <c r="AC72" s="374"/>
    </row>
    <row r="73" spans="1:29">
      <c r="A73" s="373"/>
      <c r="N73" s="374"/>
      <c r="P73" s="373"/>
      <c r="AC73" s="374"/>
    </row>
    <row r="74" spans="1:29" ht="13.5" customHeight="1" thickBot="1">
      <c r="A74" s="375"/>
      <c r="B74" s="370"/>
      <c r="C74" s="370"/>
      <c r="D74" s="370"/>
      <c r="E74" s="370"/>
      <c r="F74" s="370"/>
      <c r="G74" s="370"/>
      <c r="H74" s="370"/>
      <c r="I74" s="370"/>
      <c r="J74" s="370"/>
      <c r="K74" s="370"/>
      <c r="L74" s="370"/>
      <c r="M74" s="370"/>
      <c r="N74" s="376"/>
      <c r="P74" s="375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6"/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9" tint="-0.249977111117893"/>
  </sheetPr>
  <dimension ref="B2:AA76"/>
  <sheetViews>
    <sheetView tabSelected="1" topLeftCell="A46" zoomScale="85" zoomScaleNormal="85" workbookViewId="0">
      <selection activeCell="B63" sqref="B63:J63"/>
    </sheetView>
  </sheetViews>
  <sheetFormatPr defaultRowHeight="13.8"/>
  <cols>
    <col min="1" max="1" width="1.88671875" customWidth="1"/>
    <col min="2" max="2" width="22.6640625" customWidth="1"/>
    <col min="3" max="10" width="11" customWidth="1"/>
    <col min="11" max="12" width="12.44140625" customWidth="1"/>
    <col min="15" max="15" width="5.109375" customWidth="1"/>
    <col min="16" max="16" width="7.6640625" customWidth="1"/>
    <col min="17" max="18" width="6.5546875" customWidth="1"/>
    <col min="19" max="19" width="13.33203125" customWidth="1"/>
    <col min="20" max="20" width="5.5546875" customWidth="1"/>
    <col min="22" max="22" width="7.5546875" customWidth="1"/>
    <col min="23" max="27" width="8.88671875" style="48" customWidth="1"/>
  </cols>
  <sheetData>
    <row r="2" spans="2:27" ht="15.75" customHeight="1">
      <c r="B2" s="548" t="s">
        <v>209</v>
      </c>
      <c r="C2" s="456"/>
      <c r="D2" s="456"/>
      <c r="E2" s="456"/>
      <c r="F2" s="456"/>
      <c r="G2" s="456"/>
      <c r="H2" s="456"/>
      <c r="I2" s="456"/>
    </row>
    <row r="3" spans="2:27" ht="13.5" customHeight="1" thickBot="1"/>
    <row r="4" spans="2:27">
      <c r="B4" s="555" t="s">
        <v>145</v>
      </c>
      <c r="C4" s="436"/>
      <c r="D4" s="434"/>
      <c r="E4" s="552" t="s">
        <v>59</v>
      </c>
      <c r="F4" s="565" t="s">
        <v>210</v>
      </c>
      <c r="G4" s="463"/>
      <c r="H4" s="463"/>
      <c r="I4" s="464"/>
      <c r="W4" s="48" t="s">
        <v>160</v>
      </c>
      <c r="X4" s="48" t="s">
        <v>146</v>
      </c>
      <c r="Y4" s="48" t="s">
        <v>147</v>
      </c>
    </row>
    <row r="5" spans="2:27">
      <c r="B5" s="474"/>
      <c r="C5" s="456"/>
      <c r="D5" s="478"/>
      <c r="E5" s="553"/>
      <c r="F5" s="564" t="s">
        <v>211</v>
      </c>
      <c r="G5" s="405"/>
      <c r="H5" s="568" t="s">
        <v>212</v>
      </c>
      <c r="I5" s="569"/>
      <c r="W5" s="37">
        <v>7</v>
      </c>
      <c r="X5" s="38">
        <f t="shared" ref="X5:X51" si="0">((AA5/100)*$T$41)+AA5</f>
        <v>27600</v>
      </c>
      <c r="Y5" s="38">
        <f t="shared" ref="Y5:Y51" si="1">((AA5/100)*$T$41)+AA5</f>
        <v>27600</v>
      </c>
      <c r="Z5" s="50"/>
      <c r="AA5" s="37">
        <v>27600</v>
      </c>
    </row>
    <row r="6" spans="2:27" ht="13.5" customHeight="1" thickBot="1">
      <c r="B6" s="556"/>
      <c r="C6" s="525"/>
      <c r="D6" s="534"/>
      <c r="E6" s="445"/>
      <c r="F6" s="351" t="s">
        <v>165</v>
      </c>
      <c r="G6" s="334" t="s">
        <v>166</v>
      </c>
      <c r="H6" s="334" t="s">
        <v>165</v>
      </c>
      <c r="I6" s="335" t="s">
        <v>166</v>
      </c>
      <c r="W6" s="37">
        <v>8</v>
      </c>
      <c r="X6" s="38">
        <f t="shared" si="0"/>
        <v>24300</v>
      </c>
      <c r="Y6" s="38">
        <f t="shared" si="1"/>
        <v>24300</v>
      </c>
      <c r="Z6" s="50"/>
      <c r="AA6" s="37">
        <v>24300</v>
      </c>
    </row>
    <row r="7" spans="2:27">
      <c r="B7" s="547" t="str">
        <f>'Pracovník A'!C16</f>
        <v>Zakládání</v>
      </c>
      <c r="C7" s="525"/>
      <c r="D7" s="534"/>
      <c r="E7" s="331">
        <f>'Časový snímek'!F26</f>
        <v>415</v>
      </c>
      <c r="F7" s="332">
        <f>'Pracovník A'!E16</f>
        <v>10</v>
      </c>
      <c r="G7" s="332">
        <f>'Pracovník A'!F16</f>
        <v>6</v>
      </c>
      <c r="H7" s="332">
        <f>'Pracovník A'!G16</f>
        <v>7</v>
      </c>
      <c r="I7" s="333">
        <f>'Pracovník A'!H16</f>
        <v>1</v>
      </c>
      <c r="R7" s="360"/>
      <c r="S7" s="360"/>
      <c r="T7" s="360"/>
      <c r="U7" s="360"/>
      <c r="W7" s="37">
        <v>9</v>
      </c>
      <c r="X7" s="38">
        <f t="shared" si="0"/>
        <v>21800</v>
      </c>
      <c r="Y7" s="38">
        <f t="shared" si="1"/>
        <v>21800</v>
      </c>
      <c r="Z7" s="277"/>
      <c r="AA7" s="37">
        <v>21800</v>
      </c>
    </row>
    <row r="8" spans="2:27">
      <c r="B8" s="546" t="str">
        <f>'Pracovník A'!C17</f>
        <v>Bezpečnostní přestávka</v>
      </c>
      <c r="C8" s="531"/>
      <c r="D8" s="405"/>
      <c r="E8" s="327">
        <f>'Časový snímek'!F27</f>
        <v>35</v>
      </c>
      <c r="F8" s="328">
        <f>'Pracovník A'!E17</f>
        <v>5</v>
      </c>
      <c r="G8" s="328">
        <f>'Pracovník A'!F17</f>
        <v>6</v>
      </c>
      <c r="H8" s="328">
        <f>'Pracovník A'!G17</f>
        <v>8</v>
      </c>
      <c r="I8" s="330">
        <f>'Pracovník A'!H17</f>
        <v>2</v>
      </c>
      <c r="R8" s="360"/>
      <c r="S8" s="360"/>
      <c r="T8" s="360"/>
      <c r="U8" s="360"/>
      <c r="W8" s="37">
        <v>10</v>
      </c>
      <c r="X8" s="38">
        <f t="shared" si="0"/>
        <v>19800</v>
      </c>
      <c r="Y8" s="38">
        <f t="shared" si="1"/>
        <v>19800</v>
      </c>
      <c r="AA8" s="37">
        <v>19800</v>
      </c>
    </row>
    <row r="9" spans="2:27">
      <c r="B9" s="546" t="str">
        <f>'Pracovník A'!C18</f>
        <v>Přestávka na jídlo a oddech</v>
      </c>
      <c r="C9" s="531"/>
      <c r="D9" s="405"/>
      <c r="E9" s="327">
        <f>'Časový snímek'!F28</f>
        <v>30</v>
      </c>
      <c r="F9" s="328">
        <f>'Pracovník A'!E18</f>
        <v>5</v>
      </c>
      <c r="G9" s="328">
        <f>'Pracovník A'!F18</f>
        <v>6</v>
      </c>
      <c r="H9" s="328">
        <f>'Pracovník A'!G18</f>
        <v>9</v>
      </c>
      <c r="I9" s="330">
        <f>'Pracovník A'!H18</f>
        <v>3</v>
      </c>
      <c r="R9" s="360"/>
      <c r="S9" s="324"/>
      <c r="T9" s="323"/>
      <c r="U9" s="361"/>
      <c r="W9" s="37">
        <v>11</v>
      </c>
      <c r="X9" s="38">
        <f t="shared" si="0"/>
        <v>18100</v>
      </c>
      <c r="Y9" s="38">
        <f t="shared" si="1"/>
        <v>18100</v>
      </c>
      <c r="Z9" s="70"/>
      <c r="AA9" s="37">
        <v>18100</v>
      </c>
    </row>
    <row r="10" spans="2:27">
      <c r="B10" s="546">
        <f>'Pracovník A'!C19</f>
        <v>0</v>
      </c>
      <c r="C10" s="531"/>
      <c r="D10" s="405"/>
      <c r="E10" s="327">
        <f>'Časový snímek'!F29</f>
        <v>0</v>
      </c>
      <c r="F10" s="328">
        <f>'Pracovník A'!E19</f>
        <v>0</v>
      </c>
      <c r="G10" s="328">
        <f>'Pracovník A'!F19</f>
        <v>0</v>
      </c>
      <c r="H10" s="328">
        <f>'Pracovník A'!G19</f>
        <v>0</v>
      </c>
      <c r="I10" s="330">
        <f>'Pracovník A'!H19</f>
        <v>0</v>
      </c>
      <c r="R10" s="360"/>
      <c r="S10" s="324"/>
      <c r="T10" s="323"/>
      <c r="U10" s="361"/>
      <c r="W10" s="37">
        <v>12</v>
      </c>
      <c r="X10" s="38">
        <f t="shared" si="0"/>
        <v>16700</v>
      </c>
      <c r="Y10" s="38">
        <f t="shared" si="1"/>
        <v>16700</v>
      </c>
      <c r="Z10" s="70"/>
      <c r="AA10" s="37">
        <v>16700</v>
      </c>
    </row>
    <row r="11" spans="2:27">
      <c r="B11" s="546">
        <f>'Pracovník A'!C20</f>
        <v>0</v>
      </c>
      <c r="C11" s="531"/>
      <c r="D11" s="405"/>
      <c r="E11" s="327">
        <f>'Časový snímek'!F30</f>
        <v>0</v>
      </c>
      <c r="F11" s="328">
        <f>'Pracovník A'!E20</f>
        <v>0</v>
      </c>
      <c r="G11" s="328">
        <f>'Pracovník A'!F20</f>
        <v>0</v>
      </c>
      <c r="H11" s="328">
        <f>'Pracovník A'!G20</f>
        <v>0</v>
      </c>
      <c r="I11" s="330">
        <f>'Pracovník A'!H20</f>
        <v>0</v>
      </c>
      <c r="R11" s="360"/>
      <c r="S11" s="360"/>
      <c r="T11" s="360"/>
      <c r="U11" s="360"/>
      <c r="W11" s="37">
        <v>13</v>
      </c>
      <c r="X11" s="38">
        <f t="shared" si="0"/>
        <v>15500</v>
      </c>
      <c r="Y11" s="38">
        <f t="shared" si="1"/>
        <v>15500</v>
      </c>
      <c r="Z11" s="276"/>
      <c r="AA11" s="37">
        <v>15500</v>
      </c>
    </row>
    <row r="12" spans="2:27">
      <c r="B12" s="546">
        <f>'Pracovník A'!C21</f>
        <v>0</v>
      </c>
      <c r="C12" s="531"/>
      <c r="D12" s="405"/>
      <c r="E12" s="327">
        <f>'Časový snímek'!F31</f>
        <v>0</v>
      </c>
      <c r="F12" s="328">
        <f>'Pracovník A'!E21</f>
        <v>0</v>
      </c>
      <c r="G12" s="328">
        <f>'Pracovník A'!F21</f>
        <v>0</v>
      </c>
      <c r="H12" s="328">
        <f>'Pracovník A'!G21</f>
        <v>0</v>
      </c>
      <c r="I12" s="330">
        <f>'Pracovník A'!H21</f>
        <v>0</v>
      </c>
      <c r="W12" s="37">
        <v>14</v>
      </c>
      <c r="X12" s="38">
        <f t="shared" si="0"/>
        <v>14400</v>
      </c>
      <c r="Y12" s="38">
        <f t="shared" si="1"/>
        <v>14400</v>
      </c>
      <c r="AA12" s="37">
        <v>14400</v>
      </c>
    </row>
    <row r="13" spans="2:27">
      <c r="B13" s="546">
        <f>'Pracovník A'!C22</f>
        <v>0</v>
      </c>
      <c r="C13" s="531"/>
      <c r="D13" s="405"/>
      <c r="E13" s="327">
        <f>'Časový snímek'!F32</f>
        <v>0</v>
      </c>
      <c r="F13" s="328">
        <f>'Pracovník A'!E22</f>
        <v>0</v>
      </c>
      <c r="G13" s="328">
        <f>'Pracovník A'!F22</f>
        <v>0</v>
      </c>
      <c r="H13" s="328">
        <f>'Pracovník A'!G22</f>
        <v>0</v>
      </c>
      <c r="I13" s="330">
        <f>'Pracovník A'!H22</f>
        <v>0</v>
      </c>
      <c r="W13" s="37">
        <v>15</v>
      </c>
      <c r="X13" s="38">
        <f t="shared" si="0"/>
        <v>13500</v>
      </c>
      <c r="Y13" s="38">
        <f t="shared" si="1"/>
        <v>13500</v>
      </c>
      <c r="AA13" s="37">
        <v>13500</v>
      </c>
    </row>
    <row r="14" spans="2:27">
      <c r="B14" s="549" t="s">
        <v>213</v>
      </c>
      <c r="C14" s="531"/>
      <c r="D14" s="405"/>
      <c r="E14" s="336">
        <f>'Pracovník A'!D27</f>
        <v>480</v>
      </c>
      <c r="F14" s="387">
        <f>'Pracovník A'!E28</f>
        <v>9.3000000000000007</v>
      </c>
      <c r="G14" s="387">
        <f>'Pracovník A'!F28</f>
        <v>6</v>
      </c>
      <c r="H14" s="387">
        <f>'Pracovník A'!G28</f>
        <v>7.2</v>
      </c>
      <c r="I14" s="388">
        <f>'Pracovník A'!H28</f>
        <v>1.2</v>
      </c>
      <c r="W14" s="37">
        <v>16</v>
      </c>
      <c r="X14" s="38">
        <f t="shared" si="0"/>
        <v>12700</v>
      </c>
      <c r="Y14" s="38">
        <f t="shared" si="1"/>
        <v>12700</v>
      </c>
      <c r="AA14" s="37">
        <v>12700</v>
      </c>
    </row>
    <row r="15" spans="2:27">
      <c r="B15" s="546" t="str">
        <f>'Pracovník B'!C16</f>
        <v>Zakládání</v>
      </c>
      <c r="C15" s="531"/>
      <c r="D15" s="405"/>
      <c r="E15" s="327">
        <f>'Časový snímek'!F26</f>
        <v>415</v>
      </c>
      <c r="F15" s="328">
        <f>'Pracovník B'!E16</f>
        <v>0</v>
      </c>
      <c r="G15" s="328">
        <f>'Pracovník B'!F16</f>
        <v>0</v>
      </c>
      <c r="H15" s="328">
        <f>'Pracovník B'!G16</f>
        <v>0</v>
      </c>
      <c r="I15" s="330">
        <f>'Pracovník B'!H16</f>
        <v>0</v>
      </c>
      <c r="W15" s="37">
        <v>17</v>
      </c>
      <c r="X15" s="38">
        <f t="shared" si="0"/>
        <v>12000</v>
      </c>
      <c r="Y15" s="38">
        <f t="shared" si="1"/>
        <v>12000</v>
      </c>
      <c r="AA15" s="37">
        <v>12000</v>
      </c>
    </row>
    <row r="16" spans="2:27">
      <c r="B16" s="546" t="str">
        <f>'Pracovník B'!C17</f>
        <v>Bezpečnostní přestávka</v>
      </c>
      <c r="C16" s="531"/>
      <c r="D16" s="405"/>
      <c r="E16" s="327">
        <f>'Časový snímek'!F27</f>
        <v>35</v>
      </c>
      <c r="F16" s="328">
        <f>'Pracovník B'!E17</f>
        <v>0</v>
      </c>
      <c r="G16" s="328">
        <f>'Pracovník B'!F17</f>
        <v>0</v>
      </c>
      <c r="H16" s="328">
        <f>'Pracovník B'!G17</f>
        <v>0</v>
      </c>
      <c r="I16" s="330">
        <f>'Pracovník B'!H17</f>
        <v>0</v>
      </c>
      <c r="W16" s="37">
        <v>18</v>
      </c>
      <c r="X16" s="38">
        <f t="shared" si="0"/>
        <v>11400</v>
      </c>
      <c r="Y16" s="38">
        <f t="shared" si="1"/>
        <v>11400</v>
      </c>
      <c r="AA16" s="37">
        <v>11400</v>
      </c>
    </row>
    <row r="17" spans="2:27">
      <c r="B17" s="546" t="str">
        <f>'Pracovník B'!C18</f>
        <v>Přestávka na jídlo a oddech</v>
      </c>
      <c r="C17" s="531"/>
      <c r="D17" s="405"/>
      <c r="E17" s="327">
        <f>'Časový snímek'!F28</f>
        <v>30</v>
      </c>
      <c r="F17" s="328">
        <f>'Pracovník B'!E18</f>
        <v>0</v>
      </c>
      <c r="G17" s="328">
        <f>'Pracovník B'!F18</f>
        <v>0</v>
      </c>
      <c r="H17" s="328">
        <f>'Pracovník B'!G18</f>
        <v>0</v>
      </c>
      <c r="I17" s="330">
        <f>'Pracovník B'!H18</f>
        <v>0</v>
      </c>
      <c r="W17" s="37">
        <v>19</v>
      </c>
      <c r="X17" s="38">
        <f t="shared" si="0"/>
        <v>10900</v>
      </c>
      <c r="Y17" s="38">
        <f t="shared" si="1"/>
        <v>10900</v>
      </c>
      <c r="AA17" s="37">
        <v>10900</v>
      </c>
    </row>
    <row r="18" spans="2:27">
      <c r="B18" s="546">
        <f>'Pracovník B'!C19</f>
        <v>0</v>
      </c>
      <c r="C18" s="531"/>
      <c r="D18" s="405"/>
      <c r="E18" s="327">
        <f>'Časový snímek'!F29</f>
        <v>0</v>
      </c>
      <c r="F18" s="328">
        <f>'Pracovník B'!E19</f>
        <v>0</v>
      </c>
      <c r="G18" s="328">
        <f>'Pracovník B'!F19</f>
        <v>0</v>
      </c>
      <c r="H18" s="328">
        <f>'Pracovník B'!G19</f>
        <v>0</v>
      </c>
      <c r="I18" s="330">
        <f>'Pracovník B'!H19</f>
        <v>0</v>
      </c>
      <c r="W18" s="37">
        <v>20</v>
      </c>
      <c r="X18" s="38">
        <f t="shared" si="0"/>
        <v>10400</v>
      </c>
      <c r="Y18" s="38">
        <f t="shared" si="1"/>
        <v>10400</v>
      </c>
      <c r="AA18" s="37">
        <v>10400</v>
      </c>
    </row>
    <row r="19" spans="2:27">
      <c r="B19" s="546">
        <f>'Pracovník B'!C20</f>
        <v>0</v>
      </c>
      <c r="C19" s="531"/>
      <c r="D19" s="405"/>
      <c r="E19" s="327">
        <f>'Časový snímek'!F30</f>
        <v>0</v>
      </c>
      <c r="F19" s="328">
        <f>'Pracovník B'!E20</f>
        <v>0</v>
      </c>
      <c r="G19" s="328">
        <f>'Pracovník B'!F20</f>
        <v>0</v>
      </c>
      <c r="H19" s="328">
        <f>'Pracovník B'!G20</f>
        <v>0</v>
      </c>
      <c r="I19" s="330">
        <f>'Pracovník B'!H20</f>
        <v>0</v>
      </c>
      <c r="W19" s="37">
        <v>21</v>
      </c>
      <c r="X19" s="38">
        <f t="shared" si="0"/>
        <v>10000</v>
      </c>
      <c r="Y19" s="38">
        <f t="shared" si="1"/>
        <v>10000</v>
      </c>
      <c r="AA19" s="37">
        <v>10000</v>
      </c>
    </row>
    <row r="20" spans="2:27">
      <c r="B20" s="546">
        <f>'Pracovník B'!C21</f>
        <v>0</v>
      </c>
      <c r="C20" s="531"/>
      <c r="D20" s="405"/>
      <c r="E20" s="327">
        <f>'Časový snímek'!F31</f>
        <v>0</v>
      </c>
      <c r="F20" s="328">
        <f>'Pracovník B'!E21</f>
        <v>0</v>
      </c>
      <c r="G20" s="328">
        <f>'Pracovník B'!F21</f>
        <v>0</v>
      </c>
      <c r="H20" s="328">
        <f>'Pracovník B'!G21</f>
        <v>0</v>
      </c>
      <c r="I20" s="330">
        <f>'Pracovník B'!H21</f>
        <v>0</v>
      </c>
      <c r="W20" s="37">
        <v>22</v>
      </c>
      <c r="X20" s="38">
        <f t="shared" si="0"/>
        <v>9600</v>
      </c>
      <c r="Y20" s="38">
        <f t="shared" si="1"/>
        <v>9600</v>
      </c>
      <c r="AA20" s="37">
        <v>9600</v>
      </c>
    </row>
    <row r="21" spans="2:27" ht="13.5" customHeight="1" thickBot="1">
      <c r="B21" s="544" t="s">
        <v>214</v>
      </c>
      <c r="C21" s="466"/>
      <c r="D21" s="415"/>
      <c r="E21" s="337">
        <f>'Pracovník B'!D27</f>
        <v>480</v>
      </c>
      <c r="F21" s="389">
        <f>'Pracovník B'!E28</f>
        <v>0</v>
      </c>
      <c r="G21" s="389">
        <f>'Pracovník B'!F28</f>
        <v>0</v>
      </c>
      <c r="H21" s="389">
        <f>'Pracovník B'!G28</f>
        <v>0</v>
      </c>
      <c r="I21" s="390">
        <f>'Pracovník B'!H28</f>
        <v>0</v>
      </c>
      <c r="W21" s="37">
        <v>23</v>
      </c>
      <c r="X21" s="38">
        <f t="shared" si="0"/>
        <v>9300</v>
      </c>
      <c r="Y21" s="38">
        <f t="shared" si="1"/>
        <v>9300</v>
      </c>
      <c r="AA21" s="37">
        <v>9300</v>
      </c>
    </row>
    <row r="22" spans="2:27">
      <c r="W22" s="37">
        <v>24</v>
      </c>
      <c r="X22" s="38">
        <f t="shared" si="0"/>
        <v>9000</v>
      </c>
      <c r="Y22" s="38">
        <f t="shared" si="1"/>
        <v>9000</v>
      </c>
      <c r="AA22" s="37">
        <v>9000</v>
      </c>
    </row>
    <row r="23" spans="2:27" ht="15.75" customHeight="1">
      <c r="B23" s="548" t="s">
        <v>215</v>
      </c>
      <c r="C23" s="456"/>
      <c r="D23" s="456"/>
      <c r="E23" s="456"/>
      <c r="F23" s="456"/>
      <c r="G23" s="456"/>
      <c r="H23" s="456"/>
      <c r="I23" s="456"/>
      <c r="K23" s="574" t="s">
        <v>216</v>
      </c>
      <c r="L23" s="575"/>
      <c r="M23" s="575"/>
      <c r="N23" s="575"/>
      <c r="O23" s="575"/>
      <c r="P23" s="575"/>
      <c r="Q23" s="575"/>
      <c r="R23" s="575"/>
      <c r="S23" s="575"/>
      <c r="T23" s="575"/>
      <c r="U23" s="366"/>
      <c r="W23" s="37">
        <v>25</v>
      </c>
      <c r="X23" s="38">
        <f t="shared" si="0"/>
        <v>8700</v>
      </c>
      <c r="Y23" s="38">
        <f t="shared" si="1"/>
        <v>8700</v>
      </c>
      <c r="AA23" s="37">
        <v>8700</v>
      </c>
    </row>
    <row r="24" spans="2:27" ht="13.5" customHeight="1" thickBot="1">
      <c r="W24" s="37">
        <v>26</v>
      </c>
      <c r="X24" s="38">
        <f t="shared" si="0"/>
        <v>8400</v>
      </c>
      <c r="Y24" s="38">
        <f t="shared" si="1"/>
        <v>8400</v>
      </c>
      <c r="AA24" s="37">
        <v>8400</v>
      </c>
    </row>
    <row r="25" spans="2:27" ht="14.4" customHeight="1">
      <c r="B25" s="555" t="s">
        <v>145</v>
      </c>
      <c r="C25" s="436"/>
      <c r="D25" s="436"/>
      <c r="E25" s="434"/>
      <c r="F25" s="551" t="s">
        <v>217</v>
      </c>
      <c r="G25" s="576" t="s">
        <v>59</v>
      </c>
      <c r="H25" s="557" t="s">
        <v>218</v>
      </c>
      <c r="I25" s="419"/>
      <c r="W25" s="37">
        <v>27</v>
      </c>
      <c r="X25" s="38">
        <f t="shared" si="0"/>
        <v>8100</v>
      </c>
      <c r="Y25" s="38">
        <f t="shared" si="1"/>
        <v>8100</v>
      </c>
      <c r="AA25" s="37">
        <v>8100</v>
      </c>
    </row>
    <row r="26" spans="2:27">
      <c r="B26" s="474"/>
      <c r="C26" s="456"/>
      <c r="D26" s="456"/>
      <c r="E26" s="478"/>
      <c r="F26" s="478"/>
      <c r="G26" s="458"/>
      <c r="H26" s="483"/>
      <c r="I26" s="484"/>
      <c r="W26" s="37">
        <v>28</v>
      </c>
      <c r="X26" s="38">
        <f t="shared" si="0"/>
        <v>7800</v>
      </c>
      <c r="Y26" s="38">
        <f t="shared" si="1"/>
        <v>7800</v>
      </c>
      <c r="AA26" s="37">
        <v>7800</v>
      </c>
    </row>
    <row r="27" spans="2:27" ht="13.5" customHeight="1" thickBot="1">
      <c r="B27" s="556"/>
      <c r="C27" s="525"/>
      <c r="D27" s="525"/>
      <c r="E27" s="534"/>
      <c r="F27" s="534"/>
      <c r="G27" s="508"/>
      <c r="H27" s="334" t="s">
        <v>146</v>
      </c>
      <c r="I27" s="335" t="s">
        <v>147</v>
      </c>
      <c r="W27" s="37">
        <v>29</v>
      </c>
      <c r="X27" s="38">
        <f t="shared" si="0"/>
        <v>7500</v>
      </c>
      <c r="Y27" s="38">
        <f t="shared" si="1"/>
        <v>7500</v>
      </c>
      <c r="AA27" s="37">
        <v>7500</v>
      </c>
    </row>
    <row r="28" spans="2:27">
      <c r="B28" s="547" t="str">
        <f>'Pracovník A'!C16</f>
        <v>Zakládání</v>
      </c>
      <c r="C28" s="525"/>
      <c r="D28" s="525"/>
      <c r="E28" s="534"/>
      <c r="F28" s="338">
        <f>'Pracovník A'!S49</f>
        <v>179.97166666666666</v>
      </c>
      <c r="G28" s="342">
        <f>'Pracovník A'!G49</f>
        <v>415</v>
      </c>
      <c r="H28" s="342">
        <f>'Pracovník A'!AB34</f>
        <v>0</v>
      </c>
      <c r="I28" s="347">
        <f>'Pracovník A'!AC34</f>
        <v>0</v>
      </c>
      <c r="W28" s="39">
        <v>30</v>
      </c>
      <c r="X28" s="38">
        <f t="shared" si="0"/>
        <v>7200</v>
      </c>
      <c r="Y28" s="38">
        <f t="shared" si="1"/>
        <v>7200</v>
      </c>
      <c r="AA28" s="37">
        <v>7200</v>
      </c>
    </row>
    <row r="29" spans="2:27">
      <c r="B29" s="546" t="str">
        <f>'Pracovník A'!C17</f>
        <v>Bezpečnostní přestávka</v>
      </c>
      <c r="C29" s="531"/>
      <c r="D29" s="531"/>
      <c r="E29" s="405"/>
      <c r="F29" s="338">
        <f>'Pracovník A'!S50</f>
        <v>0</v>
      </c>
      <c r="G29" s="342">
        <f>'Pracovník A'!G50</f>
        <v>35</v>
      </c>
      <c r="H29" s="342">
        <f>'Pracovník A'!AB35</f>
        <v>0</v>
      </c>
      <c r="I29" s="347">
        <f>'Pracovník A'!AC35</f>
        <v>0</v>
      </c>
      <c r="W29" s="39">
        <v>31</v>
      </c>
      <c r="X29" s="38">
        <f t="shared" si="0"/>
        <v>6900</v>
      </c>
      <c r="Y29" s="38">
        <f t="shared" si="1"/>
        <v>6900</v>
      </c>
      <c r="AA29" s="37">
        <v>6900</v>
      </c>
    </row>
    <row r="30" spans="2:27">
      <c r="B30" s="546" t="str">
        <f>'Pracovník A'!C18</f>
        <v>Přestávka na jídlo a oddech</v>
      </c>
      <c r="C30" s="531"/>
      <c r="D30" s="531"/>
      <c r="E30" s="405"/>
      <c r="F30" s="338">
        <f>'Pracovník A'!S51</f>
        <v>0</v>
      </c>
      <c r="G30" s="342">
        <f>'Pracovník A'!G51</f>
        <v>30</v>
      </c>
      <c r="H30" s="342">
        <f>'Pracovník A'!AB36</f>
        <v>0</v>
      </c>
      <c r="I30" s="347">
        <f>'Pracovník A'!AC36</f>
        <v>0</v>
      </c>
      <c r="W30" s="37">
        <v>32</v>
      </c>
      <c r="X30" s="38">
        <f t="shared" si="0"/>
        <v>6600</v>
      </c>
      <c r="Y30" s="38">
        <f t="shared" si="1"/>
        <v>6600</v>
      </c>
      <c r="AA30" s="37">
        <v>6600</v>
      </c>
    </row>
    <row r="31" spans="2:27">
      <c r="B31" s="546">
        <f>'Pracovník A'!C19</f>
        <v>0</v>
      </c>
      <c r="C31" s="531"/>
      <c r="D31" s="531"/>
      <c r="E31" s="405"/>
      <c r="F31" s="338">
        <f>'Pracovník A'!S52</f>
        <v>0</v>
      </c>
      <c r="G31" s="342">
        <f>'Pracovník A'!G52</f>
        <v>0</v>
      </c>
      <c r="H31" s="342">
        <f>'Pracovník A'!AB37</f>
        <v>0</v>
      </c>
      <c r="I31" s="347">
        <f>'Pracovník A'!AC37</f>
        <v>0</v>
      </c>
      <c r="W31" s="37">
        <v>33</v>
      </c>
      <c r="X31" s="38">
        <f t="shared" si="0"/>
        <v>6300</v>
      </c>
      <c r="Y31" s="38">
        <f t="shared" si="1"/>
        <v>6300</v>
      </c>
      <c r="AA31" s="37">
        <v>6300</v>
      </c>
    </row>
    <row r="32" spans="2:27">
      <c r="B32" s="546">
        <f>'Pracovník A'!C20</f>
        <v>0</v>
      </c>
      <c r="C32" s="531"/>
      <c r="D32" s="531"/>
      <c r="E32" s="405"/>
      <c r="F32" s="338">
        <f>'Pracovník A'!S53</f>
        <v>0</v>
      </c>
      <c r="G32" s="342">
        <f>'Pracovník A'!G53</f>
        <v>0</v>
      </c>
      <c r="H32" s="342">
        <f>'Pracovník A'!AB38</f>
        <v>0</v>
      </c>
      <c r="I32" s="347">
        <f>'Pracovník A'!AC38</f>
        <v>0</v>
      </c>
      <c r="W32" s="37">
        <v>34</v>
      </c>
      <c r="X32" s="38">
        <f t="shared" si="0"/>
        <v>6000</v>
      </c>
      <c r="Y32" s="38">
        <f t="shared" si="1"/>
        <v>6000</v>
      </c>
      <c r="AA32" s="37">
        <v>6000</v>
      </c>
    </row>
    <row r="33" spans="2:27">
      <c r="B33" s="546">
        <f>'Pracovník A'!C21</f>
        <v>0</v>
      </c>
      <c r="C33" s="531"/>
      <c r="D33" s="531"/>
      <c r="E33" s="405"/>
      <c r="F33" s="338">
        <f>'Pracovník A'!S54</f>
        <v>0</v>
      </c>
      <c r="G33" s="342">
        <f>'Pracovník A'!G54</f>
        <v>0</v>
      </c>
      <c r="H33" s="342">
        <f>'Pracovník A'!AB39</f>
        <v>0</v>
      </c>
      <c r="I33" s="347">
        <f>'Pracovník A'!AC39</f>
        <v>0</v>
      </c>
      <c r="W33" s="37">
        <v>35</v>
      </c>
      <c r="X33" s="38">
        <f t="shared" si="0"/>
        <v>5800</v>
      </c>
      <c r="Y33" s="38">
        <f t="shared" si="1"/>
        <v>5800</v>
      </c>
      <c r="AA33" s="37">
        <v>5800</v>
      </c>
    </row>
    <row r="34" spans="2:27">
      <c r="B34" s="549" t="s">
        <v>219</v>
      </c>
      <c r="C34" s="531"/>
      <c r="D34" s="531"/>
      <c r="E34" s="405"/>
      <c r="F34" s="340">
        <f>'Pracovník A'!S59</f>
        <v>179.97166666666666</v>
      </c>
      <c r="G34" s="344">
        <f>'Pracovník A'!G59</f>
        <v>480</v>
      </c>
      <c r="H34" s="344">
        <f>'Pracovník A'!I89</f>
        <v>0</v>
      </c>
      <c r="I34" s="349">
        <f>'Pracovník A'!O89</f>
        <v>0</v>
      </c>
      <c r="W34" s="37">
        <v>36</v>
      </c>
      <c r="X34" s="38">
        <f t="shared" si="0"/>
        <v>5600</v>
      </c>
      <c r="Y34" s="38">
        <f t="shared" si="1"/>
        <v>5600</v>
      </c>
      <c r="AA34" s="37">
        <v>5600</v>
      </c>
    </row>
    <row r="35" spans="2:27">
      <c r="B35" s="546" t="str">
        <f>'Pracovník B'!C16</f>
        <v>Zakládání</v>
      </c>
      <c r="C35" s="531"/>
      <c r="D35" s="531"/>
      <c r="E35" s="405"/>
      <c r="F35" s="339">
        <f>'Pracovník B'!S49</f>
        <v>179.97166666666666</v>
      </c>
      <c r="G35" s="343">
        <f>'Pracovník B'!G49</f>
        <v>415</v>
      </c>
      <c r="H35" s="343">
        <f>'Pracovník B'!AB34</f>
        <v>0</v>
      </c>
      <c r="I35" s="348">
        <f>'Pracovník B'!AC34</f>
        <v>0</v>
      </c>
      <c r="W35" s="37">
        <v>37</v>
      </c>
      <c r="X35" s="38">
        <f t="shared" si="0"/>
        <v>5400</v>
      </c>
      <c r="Y35" s="38">
        <f t="shared" si="1"/>
        <v>5400</v>
      </c>
      <c r="AA35" s="37">
        <v>5400</v>
      </c>
    </row>
    <row r="36" spans="2:27">
      <c r="B36" s="546" t="str">
        <f>'Pracovník B'!C17</f>
        <v>Bezpečnostní přestávka</v>
      </c>
      <c r="C36" s="531"/>
      <c r="D36" s="531"/>
      <c r="E36" s="405"/>
      <c r="F36" s="339">
        <f>'Pracovník B'!S50</f>
        <v>0</v>
      </c>
      <c r="G36" s="343">
        <f>'Pracovník B'!G50</f>
        <v>35</v>
      </c>
      <c r="H36" s="343">
        <f>'Pracovník B'!AB35</f>
        <v>0</v>
      </c>
      <c r="I36" s="348">
        <f>'Pracovník B'!AC35</f>
        <v>0</v>
      </c>
      <c r="W36" s="37">
        <v>38</v>
      </c>
      <c r="X36" s="38">
        <f t="shared" si="0"/>
        <v>5200</v>
      </c>
      <c r="Y36" s="38">
        <f t="shared" si="1"/>
        <v>5200</v>
      </c>
      <c r="AA36" s="37">
        <v>5200</v>
      </c>
    </row>
    <row r="37" spans="2:27">
      <c r="B37" s="546" t="str">
        <f>'Pracovník B'!C18</f>
        <v>Přestávka na jídlo a oddech</v>
      </c>
      <c r="C37" s="531"/>
      <c r="D37" s="531"/>
      <c r="E37" s="405"/>
      <c r="F37" s="339">
        <f>'Pracovník B'!S51</f>
        <v>0</v>
      </c>
      <c r="G37" s="343">
        <f>'Pracovník B'!G51</f>
        <v>30</v>
      </c>
      <c r="H37" s="343">
        <f>'Pracovník B'!AB36</f>
        <v>0</v>
      </c>
      <c r="I37" s="348">
        <f>'Pracovník B'!AC36</f>
        <v>0</v>
      </c>
      <c r="W37" s="37">
        <v>39</v>
      </c>
      <c r="X37" s="38">
        <f t="shared" si="0"/>
        <v>5000</v>
      </c>
      <c r="Y37" s="38">
        <f t="shared" si="1"/>
        <v>5000</v>
      </c>
      <c r="AA37" s="37">
        <v>5000</v>
      </c>
    </row>
    <row r="38" spans="2:27">
      <c r="B38" s="546">
        <f>'Pracovník B'!C19</f>
        <v>0</v>
      </c>
      <c r="C38" s="531"/>
      <c r="D38" s="531"/>
      <c r="E38" s="405"/>
      <c r="F38" s="339">
        <f>'Pracovník B'!S52</f>
        <v>0</v>
      </c>
      <c r="G38" s="343">
        <f>'Pracovník B'!G52</f>
        <v>0</v>
      </c>
      <c r="H38" s="343">
        <f>'Pracovník B'!AB37</f>
        <v>0</v>
      </c>
      <c r="I38" s="348">
        <f>'Pracovník B'!AC37</f>
        <v>0</v>
      </c>
      <c r="W38" s="37">
        <v>40</v>
      </c>
      <c r="X38" s="38">
        <f t="shared" si="0"/>
        <v>4800</v>
      </c>
      <c r="Y38" s="38">
        <f t="shared" si="1"/>
        <v>4800</v>
      </c>
      <c r="AA38" s="37">
        <v>4800</v>
      </c>
    </row>
    <row r="39" spans="2:27" ht="13.5" customHeight="1" thickBot="1">
      <c r="B39" s="546">
        <f>'Pracovník B'!C20</f>
        <v>0</v>
      </c>
      <c r="C39" s="531"/>
      <c r="D39" s="531"/>
      <c r="E39" s="405"/>
      <c r="F39" s="339">
        <f>'Pracovník B'!S53</f>
        <v>0</v>
      </c>
      <c r="G39" s="343">
        <f>'Pracovník B'!G53</f>
        <v>0</v>
      </c>
      <c r="H39" s="343">
        <f>'Pracovník B'!AB38</f>
        <v>0</v>
      </c>
      <c r="I39" s="348">
        <f>'Pracovník B'!AC38</f>
        <v>0</v>
      </c>
      <c r="W39" s="37">
        <v>41</v>
      </c>
      <c r="X39" s="38">
        <f t="shared" si="0"/>
        <v>4600</v>
      </c>
      <c r="Y39" s="38">
        <f t="shared" si="1"/>
        <v>4600</v>
      </c>
      <c r="AA39" s="37">
        <v>4600</v>
      </c>
    </row>
    <row r="40" spans="2:27" ht="15" customHeight="1">
      <c r="B40" s="546">
        <f>'Pracovník B'!C21</f>
        <v>0</v>
      </c>
      <c r="C40" s="531"/>
      <c r="D40" s="531"/>
      <c r="E40" s="405"/>
      <c r="F40" s="339">
        <f>'Pracovník B'!S54</f>
        <v>0</v>
      </c>
      <c r="G40" s="343">
        <f>'Pracovník B'!G54</f>
        <v>0</v>
      </c>
      <c r="H40" s="343">
        <f>'Pracovník B'!AB39</f>
        <v>0</v>
      </c>
      <c r="I40" s="348">
        <f>'Pracovník B'!AC39</f>
        <v>0</v>
      </c>
      <c r="S40" s="280" t="s">
        <v>156</v>
      </c>
      <c r="T40" s="282">
        <v>8</v>
      </c>
      <c r="U40" s="284" t="s">
        <v>157</v>
      </c>
      <c r="V40" s="50"/>
      <c r="W40" s="37">
        <v>42</v>
      </c>
      <c r="X40" s="38">
        <f t="shared" si="0"/>
        <v>4400</v>
      </c>
      <c r="Y40" s="38">
        <f t="shared" si="1"/>
        <v>4400</v>
      </c>
      <c r="AA40" s="37">
        <v>4400</v>
      </c>
    </row>
    <row r="41" spans="2:27" ht="13.5" customHeight="1" thickBot="1">
      <c r="B41" s="544" t="s">
        <v>214</v>
      </c>
      <c r="C41" s="466"/>
      <c r="D41" s="466"/>
      <c r="E41" s="415"/>
      <c r="F41" s="341">
        <f>'Pracovník B'!S59</f>
        <v>179.97166666666666</v>
      </c>
      <c r="G41" s="345">
        <f>'Pracovník B'!G59</f>
        <v>480</v>
      </c>
      <c r="H41" s="345">
        <f>'Pracovník B'!I89</f>
        <v>0</v>
      </c>
      <c r="I41" s="350">
        <f>'Pracovník B'!O89</f>
        <v>0</v>
      </c>
      <c r="S41" s="281" t="s">
        <v>158</v>
      </c>
      <c r="T41" s="283">
        <f>(T40-8)*5</f>
        <v>0</v>
      </c>
      <c r="U41" s="285" t="s">
        <v>220</v>
      </c>
      <c r="V41" s="50"/>
      <c r="W41" s="37">
        <v>43</v>
      </c>
      <c r="X41" s="38">
        <f t="shared" si="0"/>
        <v>4200</v>
      </c>
      <c r="Y41" s="38">
        <f t="shared" si="1"/>
        <v>4200</v>
      </c>
      <c r="AA41" s="37">
        <v>4200</v>
      </c>
    </row>
    <row r="42" spans="2:27" ht="13.5" customHeight="1" thickBot="1">
      <c r="V42" s="50"/>
      <c r="W42" s="37">
        <v>44</v>
      </c>
      <c r="X42" s="38">
        <f t="shared" si="0"/>
        <v>4000</v>
      </c>
      <c r="Y42" s="38">
        <f t="shared" si="1"/>
        <v>4000</v>
      </c>
      <c r="AA42" s="37">
        <v>4000</v>
      </c>
    </row>
    <row r="43" spans="2:27" ht="19.2" customHeight="1">
      <c r="B43" s="548" t="s">
        <v>221</v>
      </c>
      <c r="C43" s="456"/>
      <c r="D43" s="456"/>
      <c r="E43" s="456"/>
      <c r="F43" s="456"/>
      <c r="G43" s="456"/>
      <c r="H43" s="456"/>
      <c r="I43" s="456"/>
      <c r="K43" s="566" t="e">
        <f>Fmax / PHK</f>
        <v>#NAME?</v>
      </c>
      <c r="L43" s="498"/>
      <c r="M43" s="567" t="s">
        <v>222</v>
      </c>
      <c r="N43" s="434"/>
      <c r="O43" s="572" t="e">
        <f>Fmax / LHK</f>
        <v>#NAME?</v>
      </c>
      <c r="P43" s="463"/>
      <c r="Q43" s="463"/>
      <c r="R43" s="498"/>
      <c r="S43" s="567" t="s">
        <v>223</v>
      </c>
      <c r="T43" s="434"/>
      <c r="U43" s="56"/>
      <c r="W43" s="37">
        <v>45</v>
      </c>
      <c r="X43" s="38">
        <f t="shared" si="0"/>
        <v>3800</v>
      </c>
      <c r="Y43" s="38">
        <f t="shared" si="1"/>
        <v>3800</v>
      </c>
      <c r="AA43" s="37">
        <v>3800</v>
      </c>
    </row>
    <row r="44" spans="2:27" ht="13.5" customHeight="1" thickBot="1">
      <c r="K44" s="362" t="s">
        <v>165</v>
      </c>
      <c r="L44" s="363" t="s">
        <v>166</v>
      </c>
      <c r="M44" s="483"/>
      <c r="N44" s="534"/>
      <c r="O44" s="554" t="s">
        <v>165</v>
      </c>
      <c r="P44" s="415"/>
      <c r="Q44" s="554" t="s">
        <v>166</v>
      </c>
      <c r="R44" s="415"/>
      <c r="S44" s="483"/>
      <c r="T44" s="534"/>
      <c r="U44" s="56"/>
      <c r="W44" s="37">
        <v>46</v>
      </c>
      <c r="X44" s="38">
        <f t="shared" si="0"/>
        <v>3600</v>
      </c>
      <c r="Y44" s="38">
        <f t="shared" si="1"/>
        <v>3600</v>
      </c>
      <c r="AA44" s="37">
        <v>3600</v>
      </c>
    </row>
    <row r="45" spans="2:27" ht="23.4" customHeight="1" thickBot="1">
      <c r="B45" s="555" t="s">
        <v>113</v>
      </c>
      <c r="C45" s="571" t="s">
        <v>224</v>
      </c>
      <c r="D45" s="558" t="s">
        <v>225</v>
      </c>
      <c r="E45" s="498"/>
      <c r="F45" s="571" t="s">
        <v>226</v>
      </c>
      <c r="G45" s="558" t="s">
        <v>227</v>
      </c>
      <c r="H45" s="498"/>
      <c r="I45" s="573" t="s">
        <v>228</v>
      </c>
      <c r="K45" s="364">
        <f>D49</f>
        <v>5.5</v>
      </c>
      <c r="L45" s="365">
        <f>E49</f>
        <v>7.5</v>
      </c>
      <c r="M45" s="559">
        <f>F49</f>
        <v>20000</v>
      </c>
      <c r="N45" s="429"/>
      <c r="O45" s="570">
        <f>G49</f>
        <v>4.5</v>
      </c>
      <c r="P45" s="429"/>
      <c r="Q45" s="578">
        <f>H49</f>
        <v>9</v>
      </c>
      <c r="R45" s="429"/>
      <c r="S45" s="577">
        <f>I49</f>
        <v>15000</v>
      </c>
      <c r="T45" s="429"/>
      <c r="U45" s="315"/>
      <c r="W45" s="37">
        <v>47</v>
      </c>
      <c r="X45" s="38">
        <f t="shared" si="0"/>
        <v>3400</v>
      </c>
      <c r="Y45" s="38">
        <f t="shared" si="1"/>
        <v>3400</v>
      </c>
      <c r="AA45" s="37">
        <v>3400</v>
      </c>
    </row>
    <row r="46" spans="2:27" ht="13.5" customHeight="1" thickBot="1">
      <c r="B46" s="563"/>
      <c r="C46" s="508"/>
      <c r="D46" s="334" t="s">
        <v>165</v>
      </c>
      <c r="E46" s="334" t="s">
        <v>166</v>
      </c>
      <c r="F46" s="508"/>
      <c r="G46" s="334" t="s">
        <v>165</v>
      </c>
      <c r="H46" s="334" t="s">
        <v>166</v>
      </c>
      <c r="I46" s="490"/>
      <c r="W46" s="37">
        <v>48</v>
      </c>
      <c r="X46" s="38">
        <f t="shared" si="0"/>
        <v>3200</v>
      </c>
      <c r="Y46" s="38">
        <f t="shared" si="1"/>
        <v>3200</v>
      </c>
      <c r="AA46" s="37">
        <v>3200</v>
      </c>
    </row>
    <row r="47" spans="2:27">
      <c r="B47" s="357">
        <f>Somatometrie!B10</f>
        <v>0</v>
      </c>
      <c r="C47" s="326">
        <f>Somatometrie!D10</f>
        <v>0</v>
      </c>
      <c r="D47" s="332">
        <v>5</v>
      </c>
      <c r="E47" s="332">
        <v>7</v>
      </c>
      <c r="F47" s="342">
        <v>15000</v>
      </c>
      <c r="G47" s="332">
        <v>3</v>
      </c>
      <c r="H47" s="332">
        <v>9</v>
      </c>
      <c r="I47" s="347">
        <v>19000</v>
      </c>
      <c r="W47" s="37">
        <v>49</v>
      </c>
      <c r="X47" s="38">
        <f t="shared" si="0"/>
        <v>3000</v>
      </c>
      <c r="Y47" s="38">
        <f t="shared" si="1"/>
        <v>3000</v>
      </c>
      <c r="AA47" s="37">
        <v>3000</v>
      </c>
    </row>
    <row r="48" spans="2:27">
      <c r="B48" s="352">
        <f>Somatometrie!B11</f>
        <v>0</v>
      </c>
      <c r="C48" s="325">
        <f>Somatometrie!D11</f>
        <v>0</v>
      </c>
      <c r="D48" s="328">
        <v>6</v>
      </c>
      <c r="E48" s="328">
        <v>8</v>
      </c>
      <c r="F48" s="343">
        <v>25000</v>
      </c>
      <c r="G48" s="328">
        <v>6</v>
      </c>
      <c r="H48" s="328">
        <v>9</v>
      </c>
      <c r="I48" s="348">
        <v>11000</v>
      </c>
      <c r="W48" s="37">
        <v>50</v>
      </c>
      <c r="X48" s="38">
        <f t="shared" si="0"/>
        <v>2700</v>
      </c>
      <c r="Y48" s="38">
        <f t="shared" si="1"/>
        <v>2700</v>
      </c>
      <c r="AA48" s="37">
        <v>2700</v>
      </c>
    </row>
    <row r="49" spans="2:27">
      <c r="B49" s="561" t="s">
        <v>229</v>
      </c>
      <c r="C49" s="405"/>
      <c r="D49" s="358">
        <f t="shared" ref="D49:I49" si="2">AVERAGE(D47:D48)</f>
        <v>5.5</v>
      </c>
      <c r="E49" s="358">
        <f t="shared" si="2"/>
        <v>7.5</v>
      </c>
      <c r="F49" s="359">
        <f t="shared" si="2"/>
        <v>20000</v>
      </c>
      <c r="G49" s="358">
        <f t="shared" si="2"/>
        <v>4.5</v>
      </c>
      <c r="H49" s="358">
        <f t="shared" si="2"/>
        <v>9</v>
      </c>
      <c r="I49" s="379">
        <f t="shared" si="2"/>
        <v>15000</v>
      </c>
      <c r="W49" s="37">
        <v>51</v>
      </c>
      <c r="X49" s="38">
        <f t="shared" si="0"/>
        <v>2400</v>
      </c>
      <c r="Y49" s="38">
        <f t="shared" si="1"/>
        <v>2400</v>
      </c>
      <c r="AA49" s="37">
        <v>2400</v>
      </c>
    </row>
    <row r="50" spans="2:27" ht="25.95" customHeight="1" thickBot="1">
      <c r="B50" s="545" t="s">
        <v>230</v>
      </c>
      <c r="C50" s="415"/>
      <c r="D50" s="353" t="s">
        <v>231</v>
      </c>
      <c r="E50" s="353" t="s">
        <v>231</v>
      </c>
      <c r="F50" s="354" t="s">
        <v>232</v>
      </c>
      <c r="G50" s="353" t="s">
        <v>231</v>
      </c>
      <c r="H50" s="355" t="s">
        <v>231</v>
      </c>
      <c r="I50" s="356" t="s">
        <v>232</v>
      </c>
      <c r="W50" s="37">
        <v>52</v>
      </c>
      <c r="X50" s="38">
        <f t="shared" si="0"/>
        <v>2100</v>
      </c>
      <c r="Y50" s="38">
        <f t="shared" si="1"/>
        <v>2100</v>
      </c>
      <c r="AA50" s="37">
        <v>2100</v>
      </c>
    </row>
    <row r="51" spans="2:27">
      <c r="W51" s="37">
        <v>53</v>
      </c>
      <c r="X51" s="38">
        <f t="shared" si="0"/>
        <v>1800</v>
      </c>
      <c r="Y51" s="38">
        <f t="shared" si="1"/>
        <v>1800</v>
      </c>
      <c r="AA51" s="37">
        <v>1800</v>
      </c>
    </row>
    <row r="52" spans="2:27" ht="15.75" customHeight="1">
      <c r="B52" s="548" t="s">
        <v>233</v>
      </c>
      <c r="C52" s="456"/>
      <c r="D52" s="456"/>
      <c r="E52" s="456"/>
      <c r="F52" s="456"/>
      <c r="G52" s="456"/>
      <c r="H52" s="456"/>
      <c r="I52" s="456"/>
      <c r="J52" s="456"/>
    </row>
    <row r="53" spans="2:27" ht="13.5" customHeight="1" thickBot="1"/>
    <row r="54" spans="2:27">
      <c r="B54" s="562" t="s">
        <v>53</v>
      </c>
      <c r="C54" s="560" t="s">
        <v>234</v>
      </c>
      <c r="D54" s="463"/>
      <c r="E54" s="463"/>
      <c r="F54" s="498"/>
      <c r="G54" s="560" t="s">
        <v>235</v>
      </c>
      <c r="H54" s="463"/>
      <c r="I54" s="463"/>
      <c r="J54" s="498"/>
    </row>
    <row r="55" spans="2:27" ht="26.25" customHeight="1" thickBot="1">
      <c r="B55" s="563"/>
      <c r="C55" s="367" t="s">
        <v>134</v>
      </c>
      <c r="D55" s="367" t="s">
        <v>236</v>
      </c>
      <c r="E55" s="367" t="s">
        <v>136</v>
      </c>
      <c r="F55" s="367" t="s">
        <v>237</v>
      </c>
      <c r="G55" s="367" t="s">
        <v>134</v>
      </c>
      <c r="H55" s="367" t="s">
        <v>236</v>
      </c>
      <c r="I55" s="367" t="s">
        <v>136</v>
      </c>
      <c r="J55" s="368" t="s">
        <v>237</v>
      </c>
    </row>
    <row r="56" spans="2:27">
      <c r="B56" s="543" t="s">
        <v>219</v>
      </c>
      <c r="C56" s="463"/>
      <c r="D56" s="463"/>
      <c r="E56" s="463"/>
      <c r="F56" s="463"/>
      <c r="G56" s="463"/>
      <c r="H56" s="463"/>
      <c r="I56" s="463"/>
      <c r="J56" s="498"/>
    </row>
    <row r="57" spans="2:27">
      <c r="B57" s="329" t="str">
        <f>'Pracovník A'!C16</f>
        <v>Zakládání</v>
      </c>
      <c r="C57" s="391">
        <f>ROUNDUP('FA A'!D17,0)</f>
        <v>0</v>
      </c>
      <c r="D57" s="391">
        <f>ROUNDUP('FA A'!G17,0)</f>
        <v>0</v>
      </c>
      <c r="E57" s="391">
        <f>ROUNDUP('FA A'!J17,0)</f>
        <v>0</v>
      </c>
      <c r="F57" s="391">
        <f>ROUNDUP('FA A'!M17,0)</f>
        <v>0</v>
      </c>
      <c r="G57" s="391">
        <f>ROUNDUP('FA A'!D23,0)</f>
        <v>0</v>
      </c>
      <c r="H57" s="391">
        <f>ROUNDUP('FA A'!G23,0)</f>
        <v>0</v>
      </c>
      <c r="I57" s="391">
        <f>ROUNDUP('FA A'!J23,0)</f>
        <v>0</v>
      </c>
      <c r="J57" s="391">
        <f>ROUNDUP('FA A'!M23,0)</f>
        <v>0</v>
      </c>
    </row>
    <row r="58" spans="2:27">
      <c r="B58" s="329" t="str">
        <f>'Pracovník A'!C17</f>
        <v>Bezpečnostní přestávka</v>
      </c>
      <c r="C58" s="391">
        <f>ROUNDUP('FA A'!S17,0)</f>
        <v>0</v>
      </c>
      <c r="D58" s="391">
        <f>ROUNDUP('FA A'!V17,0)</f>
        <v>3</v>
      </c>
      <c r="E58" s="391">
        <f>ROUNDUP('FA A'!Y17,0)</f>
        <v>2</v>
      </c>
      <c r="F58" s="391">
        <f>ROUNDUP('FA A'!AB17,0)</f>
        <v>0</v>
      </c>
      <c r="G58" s="391">
        <f>ROUNDUP('FA A'!S23,0)</f>
        <v>0</v>
      </c>
      <c r="H58" s="391">
        <f>ROUNDUP('FA A'!V23,0)</f>
        <v>0</v>
      </c>
      <c r="I58" s="391">
        <f>ROUNDUP('FA A'!Y23,0)</f>
        <v>0</v>
      </c>
      <c r="J58" s="391">
        <f>ROUNDUP('FA A'!AB23,0)</f>
        <v>0</v>
      </c>
    </row>
    <row r="59" spans="2:27">
      <c r="B59" s="329" t="str">
        <f>'Pracovník A'!C18</f>
        <v>Přestávka na jídlo a oddech</v>
      </c>
      <c r="C59" s="391">
        <f>ROUNDUP('FA A'!D42,0)</f>
        <v>0</v>
      </c>
      <c r="D59" s="391">
        <f>ROUNDUP('FA A'!G42,0)</f>
        <v>0</v>
      </c>
      <c r="E59" s="391">
        <f>ROUNDUP('FA A'!J42,0)</f>
        <v>0</v>
      </c>
      <c r="F59" s="391">
        <f>ROUNDUP('FA A'!M42,0)</f>
        <v>0</v>
      </c>
      <c r="G59" s="391">
        <f>ROUNDUP('FA A'!D48,0)</f>
        <v>0</v>
      </c>
      <c r="H59" s="391">
        <f>ROUNDUP('FA A'!G48,0)</f>
        <v>0</v>
      </c>
      <c r="I59" s="391">
        <f>ROUNDUP('FA A'!J48,0)</f>
        <v>0</v>
      </c>
      <c r="J59" s="391">
        <f>ROUNDUP('FA A'!M48,0)</f>
        <v>0</v>
      </c>
    </row>
    <row r="60" spans="2:27">
      <c r="B60" s="329">
        <f>'Pracovník A'!C19</f>
        <v>0</v>
      </c>
      <c r="C60" s="391">
        <f>ROUNDUP('FA A'!S42,0)</f>
        <v>0</v>
      </c>
      <c r="D60" s="391">
        <f>ROUNDUP('FA A'!V42,0)</f>
        <v>0</v>
      </c>
      <c r="E60" s="391">
        <f>ROUNDUP('FA A'!Y42,0)</f>
        <v>0</v>
      </c>
      <c r="F60" s="391">
        <f>ROUNDUP('FA A'!AB42,0)</f>
        <v>0</v>
      </c>
      <c r="G60" s="391">
        <f>ROUNDUP('FA A'!S48,0)</f>
        <v>0</v>
      </c>
      <c r="H60" s="391">
        <f>ROUNDUP('FA A'!V48,0)</f>
        <v>0</v>
      </c>
      <c r="I60" s="391">
        <f>ROUNDUP('FA A'!Y48,0)</f>
        <v>0</v>
      </c>
      <c r="J60" s="391">
        <f>ROUNDUP('FA A'!AB48,0)</f>
        <v>0</v>
      </c>
    </row>
    <row r="61" spans="2:27" ht="13.5" customHeight="1" thickBot="1">
      <c r="B61" s="383">
        <f>'Pracovník A'!C20</f>
        <v>0</v>
      </c>
      <c r="C61" s="391">
        <f>ROUNDUP('FA A'!D67,0)</f>
        <v>0</v>
      </c>
      <c r="D61" s="391">
        <f>ROUNDUP('FA A'!G67,0)</f>
        <v>0</v>
      </c>
      <c r="E61" s="391">
        <f>ROUNDUP('FA A'!J67,0)</f>
        <v>0</v>
      </c>
      <c r="F61" s="391">
        <f>ROUNDUP('FA A'!M67,0)</f>
        <v>0</v>
      </c>
      <c r="G61" s="391">
        <f>ROUNDUP('FA A'!D73,0)</f>
        <v>0</v>
      </c>
      <c r="H61" s="391">
        <f>ROUNDUP('FA A'!G73,0)</f>
        <v>0</v>
      </c>
      <c r="I61" s="391">
        <f>ROUNDUP('FA A'!J73,0)</f>
        <v>0</v>
      </c>
      <c r="J61" s="391">
        <f>ROUNDUP('FA A'!M73,0)</f>
        <v>0</v>
      </c>
    </row>
    <row r="62" spans="2:27" ht="14.25" customHeight="1" thickTop="1" thickBot="1">
      <c r="B62" s="381" t="s">
        <v>238</v>
      </c>
      <c r="C62" s="382">
        <f t="shared" ref="C62:J62" si="3">ROUNDUP(SUM(C57:C61),0)</f>
        <v>0</v>
      </c>
      <c r="D62" s="382">
        <f t="shared" si="3"/>
        <v>3</v>
      </c>
      <c r="E62" s="382">
        <f t="shared" si="3"/>
        <v>2</v>
      </c>
      <c r="F62" s="382">
        <f t="shared" si="3"/>
        <v>0</v>
      </c>
      <c r="G62" s="382">
        <f t="shared" si="3"/>
        <v>0</v>
      </c>
      <c r="H62" s="382">
        <f t="shared" si="3"/>
        <v>0</v>
      </c>
      <c r="I62" s="382">
        <f t="shared" si="3"/>
        <v>0</v>
      </c>
      <c r="J62" s="382">
        <f t="shared" si="3"/>
        <v>0</v>
      </c>
    </row>
    <row r="63" spans="2:27">
      <c r="B63" s="543" t="s">
        <v>214</v>
      </c>
      <c r="C63" s="463"/>
      <c r="D63" s="463"/>
      <c r="E63" s="463"/>
      <c r="F63" s="463"/>
      <c r="G63" s="463"/>
      <c r="H63" s="463"/>
      <c r="I63" s="463"/>
      <c r="J63" s="498"/>
    </row>
    <row r="64" spans="2:27">
      <c r="B64" s="329" t="str">
        <f>'Pracovník B'!C16</f>
        <v>Zakládání</v>
      </c>
      <c r="C64" s="391">
        <f>ROUNDUP('FA B'!D17,0)</f>
        <v>0</v>
      </c>
      <c r="D64" s="391">
        <f>ROUNDUP('FA B'!G17,0)</f>
        <v>0</v>
      </c>
      <c r="E64" s="391">
        <f>ROUNDUP('FA B'!J17,0)</f>
        <v>0</v>
      </c>
      <c r="F64" s="391">
        <f>ROUNDUP('FA B'!M17,0)</f>
        <v>0</v>
      </c>
      <c r="G64" s="391">
        <f>ROUNDUP('FA B'!D23,0)</f>
        <v>0</v>
      </c>
      <c r="H64" s="391">
        <f>ROUNDUP('FA B'!G23,0)</f>
        <v>0</v>
      </c>
      <c r="I64" s="391">
        <f>ROUNDUP('FA B'!J23,0)</f>
        <v>0</v>
      </c>
      <c r="J64" s="391">
        <f>ROUNDUP('FA B'!M23,0)</f>
        <v>0</v>
      </c>
    </row>
    <row r="65" spans="2:10">
      <c r="B65" s="329" t="str">
        <f>'Pracovník B'!C17</f>
        <v>Bezpečnostní přestávka</v>
      </c>
      <c r="C65" s="391">
        <f>ROUNDUP('FA B'!S17,0)</f>
        <v>4</v>
      </c>
      <c r="D65" s="391">
        <f>ROUNDUP('FA B'!V17,0)</f>
        <v>3</v>
      </c>
      <c r="E65" s="391">
        <f>ROUNDUP('FA B'!Y17,0)</f>
        <v>4</v>
      </c>
      <c r="F65" s="391">
        <f>ROUNDUP('FA B'!AB17,0)</f>
        <v>2</v>
      </c>
      <c r="G65" s="391">
        <f>ROUNDUP('FA B'!S23,0)</f>
        <v>0</v>
      </c>
      <c r="H65" s="391">
        <f>ROUNDUP('FA B'!V23,0)</f>
        <v>0</v>
      </c>
      <c r="I65" s="391">
        <f>ROUNDUP('FA B'!Y23,0)</f>
        <v>0</v>
      </c>
      <c r="J65" s="391">
        <f>ROUNDUP('FA B'!AB23,0)</f>
        <v>0</v>
      </c>
    </row>
    <row r="66" spans="2:10">
      <c r="B66" s="329" t="str">
        <f>'Pracovník B'!C18</f>
        <v>Přestávka na jídlo a oddech</v>
      </c>
      <c r="C66" s="391">
        <f>ROUNDUP('FA B'!D42,0)</f>
        <v>0</v>
      </c>
      <c r="D66" s="391">
        <f>ROUNDUP('FA B'!G42,0)</f>
        <v>0</v>
      </c>
      <c r="E66" s="391">
        <f>ROUNDUP('FA B'!J42,0)</f>
        <v>0</v>
      </c>
      <c r="F66" s="391">
        <f>ROUNDUP('FA B'!M42,0)</f>
        <v>0</v>
      </c>
      <c r="G66" s="391">
        <f>ROUNDUP('FA B'!D48,0)</f>
        <v>0</v>
      </c>
      <c r="H66" s="391">
        <f>ROUNDUP('FA B'!G48,0)</f>
        <v>0</v>
      </c>
      <c r="I66" s="391">
        <f>ROUNDUP('FA B'!J48,0)</f>
        <v>0</v>
      </c>
      <c r="J66" s="391">
        <f>ROUNDUP('FA B'!M48,0)</f>
        <v>0</v>
      </c>
    </row>
    <row r="67" spans="2:10">
      <c r="B67" s="329">
        <f>'Pracovník B'!C19</f>
        <v>0</v>
      </c>
      <c r="C67" s="391">
        <f>ROUNDUP('FA B'!S42,0)</f>
        <v>0</v>
      </c>
      <c r="D67" s="391">
        <f>ROUNDUP('FA B'!V42,0)</f>
        <v>0</v>
      </c>
      <c r="E67" s="391">
        <f>ROUNDUP('FA B'!Y42,0)</f>
        <v>0</v>
      </c>
      <c r="F67" s="391">
        <f>ROUNDUP('FA B'!AB42,0)</f>
        <v>0</v>
      </c>
      <c r="G67" s="391">
        <f>ROUNDUP('FA B'!S48,0)</f>
        <v>0</v>
      </c>
      <c r="H67" s="391">
        <f>ROUNDUP('FA B'!V48,0)</f>
        <v>0</v>
      </c>
      <c r="I67" s="391">
        <f>ROUNDUP('FA B'!Y48,0)</f>
        <v>0</v>
      </c>
      <c r="J67" s="391">
        <f>ROUNDUP('FA B'!AB48,0)</f>
        <v>0</v>
      </c>
    </row>
    <row r="68" spans="2:10" ht="13.5" customHeight="1" thickBot="1">
      <c r="B68" s="383">
        <f>'Pracovník B'!C20</f>
        <v>0</v>
      </c>
      <c r="C68" s="391">
        <f>ROUNDUP('FA B'!D67,0)</f>
        <v>0</v>
      </c>
      <c r="D68" s="391">
        <f>ROUNDUP('FA B'!G67,0)</f>
        <v>0</v>
      </c>
      <c r="E68" s="391">
        <f>ROUNDUP('FA B'!J67,0)</f>
        <v>0</v>
      </c>
      <c r="F68" s="391">
        <f>ROUNDUP('FA B'!M67,0)</f>
        <v>0</v>
      </c>
      <c r="G68" s="391">
        <f>ROUNDUP('FA B'!D73,0)</f>
        <v>0</v>
      </c>
      <c r="H68" s="391">
        <f>ROUNDUP('FA B'!G73,0)</f>
        <v>0</v>
      </c>
      <c r="I68" s="391">
        <f>ROUNDUP('FA B'!J73,0)</f>
        <v>0</v>
      </c>
      <c r="J68" s="391">
        <f>ROUNDUP('FA B'!M73,0)</f>
        <v>0</v>
      </c>
    </row>
    <row r="69" spans="2:10" ht="14.25" customHeight="1" thickTop="1" thickBot="1">
      <c r="B69" s="381" t="s">
        <v>238</v>
      </c>
      <c r="C69" s="382">
        <f t="shared" ref="C69:J69" si="4">ROUNDUP(SUM(C64:C68),0)</f>
        <v>4</v>
      </c>
      <c r="D69" s="382">
        <f t="shared" si="4"/>
        <v>3</v>
      </c>
      <c r="E69" s="382">
        <f t="shared" si="4"/>
        <v>4</v>
      </c>
      <c r="F69" s="382">
        <f t="shared" si="4"/>
        <v>2</v>
      </c>
      <c r="G69" s="382">
        <f t="shared" si="4"/>
        <v>0</v>
      </c>
      <c r="H69" s="382">
        <f t="shared" si="4"/>
        <v>0</v>
      </c>
      <c r="I69" s="382">
        <f t="shared" si="4"/>
        <v>0</v>
      </c>
      <c r="J69" s="382">
        <f t="shared" si="4"/>
        <v>0</v>
      </c>
    </row>
    <row r="70" spans="2:10">
      <c r="B70" s="550" t="s">
        <v>239</v>
      </c>
      <c r="C70" s="525"/>
      <c r="D70" s="525"/>
      <c r="E70" s="525"/>
      <c r="F70" s="525"/>
      <c r="G70" s="525"/>
      <c r="H70" s="525"/>
      <c r="I70" s="525"/>
      <c r="J70" s="534"/>
    </row>
    <row r="71" spans="2:10">
      <c r="B71" s="329" t="str">
        <f>B64</f>
        <v>Zakládání</v>
      </c>
      <c r="C71" s="380">
        <f t="shared" ref="C71:J74" si="5">ROUNDUP(AVERAGE(C57,C64),0)</f>
        <v>0</v>
      </c>
      <c r="D71" s="380">
        <f t="shared" si="5"/>
        <v>0</v>
      </c>
      <c r="E71" s="380">
        <f t="shared" si="5"/>
        <v>0</v>
      </c>
      <c r="F71" s="380">
        <f t="shared" si="5"/>
        <v>0</v>
      </c>
      <c r="G71" s="380">
        <f t="shared" si="5"/>
        <v>0</v>
      </c>
      <c r="H71" s="380">
        <f t="shared" si="5"/>
        <v>0</v>
      </c>
      <c r="I71" s="380">
        <f t="shared" si="5"/>
        <v>0</v>
      </c>
      <c r="J71" s="380">
        <f t="shared" si="5"/>
        <v>0</v>
      </c>
    </row>
    <row r="72" spans="2:10">
      <c r="B72" s="329" t="str">
        <f>B65</f>
        <v>Bezpečnostní přestávka</v>
      </c>
      <c r="C72" s="380">
        <f t="shared" si="5"/>
        <v>2</v>
      </c>
      <c r="D72" s="380">
        <f t="shared" si="5"/>
        <v>3</v>
      </c>
      <c r="E72" s="380">
        <f t="shared" si="5"/>
        <v>3</v>
      </c>
      <c r="F72" s="380">
        <f t="shared" si="5"/>
        <v>1</v>
      </c>
      <c r="G72" s="380">
        <f t="shared" si="5"/>
        <v>0</v>
      </c>
      <c r="H72" s="380">
        <f t="shared" si="5"/>
        <v>0</v>
      </c>
      <c r="I72" s="380">
        <f t="shared" si="5"/>
        <v>0</v>
      </c>
      <c r="J72" s="380">
        <f t="shared" si="5"/>
        <v>0</v>
      </c>
    </row>
    <row r="73" spans="2:10">
      <c r="B73" s="329" t="str">
        <f>B66</f>
        <v>Přestávka na jídlo a oddech</v>
      </c>
      <c r="C73" s="380">
        <f t="shared" si="5"/>
        <v>0</v>
      </c>
      <c r="D73" s="380">
        <f t="shared" si="5"/>
        <v>0</v>
      </c>
      <c r="E73" s="380">
        <f t="shared" si="5"/>
        <v>0</v>
      </c>
      <c r="F73" s="380">
        <f t="shared" si="5"/>
        <v>0</v>
      </c>
      <c r="G73" s="380">
        <f t="shared" si="5"/>
        <v>0</v>
      </c>
      <c r="H73" s="380">
        <f t="shared" si="5"/>
        <v>0</v>
      </c>
      <c r="I73" s="380">
        <f t="shared" si="5"/>
        <v>0</v>
      </c>
      <c r="J73" s="380">
        <f t="shared" si="5"/>
        <v>0</v>
      </c>
    </row>
    <row r="74" spans="2:10">
      <c r="B74" s="329">
        <f>B67</f>
        <v>0</v>
      </c>
      <c r="C74" s="380">
        <f t="shared" si="5"/>
        <v>0</v>
      </c>
      <c r="D74" s="380">
        <f t="shared" si="5"/>
        <v>0</v>
      </c>
      <c r="E74" s="380">
        <f t="shared" si="5"/>
        <v>0</v>
      </c>
      <c r="F74" s="380">
        <f t="shared" si="5"/>
        <v>0</v>
      </c>
      <c r="G74" s="380">
        <f t="shared" si="5"/>
        <v>0</v>
      </c>
      <c r="H74" s="380">
        <f t="shared" si="5"/>
        <v>0</v>
      </c>
      <c r="I74" s="380">
        <f t="shared" si="5"/>
        <v>0</v>
      </c>
      <c r="J74" s="380">
        <f t="shared" si="5"/>
        <v>0</v>
      </c>
    </row>
    <row r="75" spans="2:10" ht="13.5" customHeight="1" thickBot="1">
      <c r="B75" s="383">
        <f>B68</f>
        <v>0</v>
      </c>
      <c r="C75" s="385">
        <f t="shared" ref="C75:J75" si="6">AVERAGE(C61,C68)</f>
        <v>0</v>
      </c>
      <c r="D75" s="385">
        <f t="shared" si="6"/>
        <v>0</v>
      </c>
      <c r="E75" s="385">
        <f t="shared" si="6"/>
        <v>0</v>
      </c>
      <c r="F75" s="385">
        <f t="shared" si="6"/>
        <v>0</v>
      </c>
      <c r="G75" s="385">
        <f t="shared" si="6"/>
        <v>0</v>
      </c>
      <c r="H75" s="385">
        <f t="shared" si="6"/>
        <v>0</v>
      </c>
      <c r="I75" s="385">
        <f t="shared" si="6"/>
        <v>0</v>
      </c>
      <c r="J75" s="386">
        <f t="shared" si="6"/>
        <v>0</v>
      </c>
    </row>
    <row r="76" spans="2:10" ht="14.25" customHeight="1" thickTop="1" thickBot="1">
      <c r="B76" s="381" t="s">
        <v>238</v>
      </c>
      <c r="C76" s="384">
        <f t="shared" ref="C76:J76" si="7">SUM(C71:C75)</f>
        <v>2</v>
      </c>
      <c r="D76" s="384">
        <f t="shared" si="7"/>
        <v>3</v>
      </c>
      <c r="E76" s="384">
        <f t="shared" si="7"/>
        <v>3</v>
      </c>
      <c r="F76" s="384">
        <f t="shared" si="7"/>
        <v>1</v>
      </c>
      <c r="G76" s="384">
        <f t="shared" si="7"/>
        <v>0</v>
      </c>
      <c r="H76" s="384">
        <f t="shared" si="7"/>
        <v>0</v>
      </c>
      <c r="I76" s="384">
        <f t="shared" si="7"/>
        <v>0</v>
      </c>
      <c r="J76" s="384">
        <f t="shared" si="7"/>
        <v>0</v>
      </c>
    </row>
  </sheetData>
  <mergeCells count="67">
    <mergeCell ref="K23:T23"/>
    <mergeCell ref="C45:C46"/>
    <mergeCell ref="B35:E35"/>
    <mergeCell ref="G25:G27"/>
    <mergeCell ref="S45:T45"/>
    <mergeCell ref="S43:T44"/>
    <mergeCell ref="Q45:R45"/>
    <mergeCell ref="B8:D8"/>
    <mergeCell ref="B30:E30"/>
    <mergeCell ref="B17:D17"/>
    <mergeCell ref="B13:D13"/>
    <mergeCell ref="B33:E33"/>
    <mergeCell ref="B10:D10"/>
    <mergeCell ref="B32:E32"/>
    <mergeCell ref="B19:D19"/>
    <mergeCell ref="B11:D11"/>
    <mergeCell ref="B14:D14"/>
    <mergeCell ref="O45:P45"/>
    <mergeCell ref="D45:E45"/>
    <mergeCell ref="B36:E36"/>
    <mergeCell ref="B43:I43"/>
    <mergeCell ref="F45:F46"/>
    <mergeCell ref="B41:E41"/>
    <mergeCell ref="O43:R43"/>
    <mergeCell ref="B40:E40"/>
    <mergeCell ref="I45:I46"/>
    <mergeCell ref="B2:I2"/>
    <mergeCell ref="F5:G5"/>
    <mergeCell ref="F4:I4"/>
    <mergeCell ref="B9:D9"/>
    <mergeCell ref="O44:P44"/>
    <mergeCell ref="B25:E27"/>
    <mergeCell ref="B23:I23"/>
    <mergeCell ref="B15:D15"/>
    <mergeCell ref="B20:D20"/>
    <mergeCell ref="B31:E31"/>
    <mergeCell ref="K43:L43"/>
    <mergeCell ref="M43:N44"/>
    <mergeCell ref="B38:E38"/>
    <mergeCell ref="B29:E29"/>
    <mergeCell ref="B18:D18"/>
    <mergeCell ref="H5:I5"/>
    <mergeCell ref="B70:J70"/>
    <mergeCell ref="F25:F27"/>
    <mergeCell ref="E4:E6"/>
    <mergeCell ref="B63:J63"/>
    <mergeCell ref="Q44:R44"/>
    <mergeCell ref="B39:E39"/>
    <mergeCell ref="B4:D6"/>
    <mergeCell ref="H25:I26"/>
    <mergeCell ref="G45:H45"/>
    <mergeCell ref="M45:N45"/>
    <mergeCell ref="C54:F54"/>
    <mergeCell ref="B7:D7"/>
    <mergeCell ref="B49:C49"/>
    <mergeCell ref="B54:B55"/>
    <mergeCell ref="B16:D16"/>
    <mergeCell ref="B45:B46"/>
    <mergeCell ref="B56:J56"/>
    <mergeCell ref="B21:D21"/>
    <mergeCell ref="B50:C50"/>
    <mergeCell ref="B37:E37"/>
    <mergeCell ref="B12:D12"/>
    <mergeCell ref="B28:E28"/>
    <mergeCell ref="B52:J52"/>
    <mergeCell ref="B34:E34"/>
    <mergeCell ref="G54:J54"/>
  </mergeCells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List18">
    <tabColor theme="7" tint="0.59999389629810485"/>
  </sheetPr>
  <dimension ref="A1:X64"/>
  <sheetViews>
    <sheetView workbookViewId="0">
      <selection sqref="A1:F1"/>
    </sheetView>
  </sheetViews>
  <sheetFormatPr defaultRowHeight="13.2"/>
  <cols>
    <col min="1" max="4" width="10.6640625" customWidth="1"/>
    <col min="5" max="8" width="5.6640625" customWidth="1"/>
    <col min="9" max="9" width="7.6640625" customWidth="1"/>
    <col min="10" max="14" width="5.6640625" customWidth="1"/>
    <col min="15" max="15" width="9.109375" customWidth="1"/>
    <col min="16" max="16" width="8.88671875" style="71" customWidth="1"/>
    <col min="18" max="18" width="9.109375" customWidth="1"/>
    <col min="22" max="22" width="8.88671875" style="40" customWidth="1"/>
  </cols>
  <sheetData>
    <row r="1" spans="1:22" ht="13.5" customHeight="1">
      <c r="A1" s="579" t="s">
        <v>240</v>
      </c>
      <c r="B1" s="456"/>
      <c r="C1" s="456"/>
      <c r="D1" s="456"/>
      <c r="E1" s="456"/>
      <c r="F1" s="456"/>
      <c r="G1" s="35"/>
      <c r="H1" s="35"/>
      <c r="L1" s="36"/>
      <c r="M1" s="36"/>
      <c r="N1" s="36"/>
      <c r="O1" s="37">
        <v>7</v>
      </c>
      <c r="P1" s="38">
        <f t="shared" ref="P1:P47" si="0">((V1/100)*$I$6)+V1</f>
        <v>26910</v>
      </c>
      <c r="Q1" s="39"/>
      <c r="R1" s="37">
        <v>7</v>
      </c>
      <c r="S1" s="37">
        <f t="shared" ref="S1:S47" si="1">((V1/100)*$I$6)+V1</f>
        <v>26910</v>
      </c>
      <c r="V1" s="40">
        <v>27600</v>
      </c>
    </row>
    <row r="2" spans="1:22" ht="13.5" customHeight="1">
      <c r="A2" s="592" t="s">
        <v>241</v>
      </c>
      <c r="B2" s="456"/>
      <c r="C2" s="456"/>
      <c r="D2" s="456"/>
      <c r="E2" s="456"/>
      <c r="F2" s="456"/>
      <c r="G2" s="35"/>
      <c r="H2" s="35"/>
      <c r="L2" s="36"/>
      <c r="M2" s="36"/>
      <c r="N2" s="36"/>
      <c r="O2" s="37">
        <v>8</v>
      </c>
      <c r="P2" s="38">
        <f t="shared" si="0"/>
        <v>23692.5</v>
      </c>
      <c r="Q2" s="39"/>
      <c r="R2" s="37">
        <v>8</v>
      </c>
      <c r="S2" s="37">
        <f t="shared" si="1"/>
        <v>23692.5</v>
      </c>
      <c r="V2" s="40">
        <v>24300</v>
      </c>
    </row>
    <row r="3" spans="1:22" ht="13.5" customHeight="1">
      <c r="A3" s="592" t="s">
        <v>242</v>
      </c>
      <c r="B3" s="456"/>
      <c r="C3" s="456"/>
      <c r="D3" s="456"/>
      <c r="E3" s="456"/>
      <c r="F3" s="456"/>
      <c r="G3" s="35"/>
      <c r="H3" s="35"/>
      <c r="L3" s="36"/>
      <c r="M3" s="36"/>
      <c r="N3" s="36"/>
      <c r="O3" s="37">
        <v>9</v>
      </c>
      <c r="P3" s="38">
        <f t="shared" si="0"/>
        <v>21255</v>
      </c>
      <c r="Q3" s="39"/>
      <c r="R3" s="37">
        <v>9</v>
      </c>
      <c r="S3" s="37">
        <f t="shared" si="1"/>
        <v>21255</v>
      </c>
      <c r="V3" s="40">
        <v>21800</v>
      </c>
    </row>
    <row r="4" spans="1:22" ht="13.5" customHeight="1">
      <c r="A4" s="584" t="s">
        <v>243</v>
      </c>
      <c r="B4" s="525"/>
      <c r="C4" s="525"/>
      <c r="D4" s="525"/>
      <c r="E4" s="525"/>
      <c r="F4" s="525"/>
      <c r="G4" s="41"/>
      <c r="H4" s="41"/>
      <c r="I4" s="42"/>
      <c r="J4" s="42"/>
      <c r="L4" s="583" t="s">
        <v>244</v>
      </c>
      <c r="M4" s="456"/>
      <c r="N4" s="456"/>
      <c r="O4" s="37">
        <v>10</v>
      </c>
      <c r="P4" s="38">
        <f t="shared" si="0"/>
        <v>19305</v>
      </c>
      <c r="Q4" s="39"/>
      <c r="R4" s="37">
        <v>10</v>
      </c>
      <c r="S4" s="37">
        <f t="shared" si="1"/>
        <v>19305</v>
      </c>
      <c r="V4" s="40">
        <v>19800</v>
      </c>
    </row>
    <row r="5" spans="1:22" ht="13.95" customHeight="1">
      <c r="D5" s="580" t="s">
        <v>245</v>
      </c>
      <c r="E5" s="531"/>
      <c r="F5" s="531"/>
      <c r="G5" s="531"/>
      <c r="H5" s="531"/>
      <c r="I5" s="43">
        <f>'Časový snímek'!N6/60</f>
        <v>7.5</v>
      </c>
      <c r="J5" s="44" t="s">
        <v>157</v>
      </c>
      <c r="L5" s="456"/>
      <c r="M5" s="456"/>
      <c r="N5" s="456"/>
      <c r="O5" s="37">
        <v>11</v>
      </c>
      <c r="P5" s="38">
        <f t="shared" si="0"/>
        <v>17647.5</v>
      </c>
      <c r="Q5" s="39"/>
      <c r="R5" s="37">
        <v>11</v>
      </c>
      <c r="S5" s="37">
        <f t="shared" si="1"/>
        <v>17647.5</v>
      </c>
      <c r="V5" s="40">
        <v>18100</v>
      </c>
    </row>
    <row r="6" spans="1:22" ht="15" customHeight="1">
      <c r="A6" s="593" t="s">
        <v>246</v>
      </c>
      <c r="B6" s="456"/>
      <c r="C6" s="45"/>
      <c r="D6" s="580" t="s">
        <v>247</v>
      </c>
      <c r="E6" s="531"/>
      <c r="F6" s="531"/>
      <c r="G6" s="531"/>
      <c r="H6" s="531"/>
      <c r="I6" s="46">
        <f>(I5-8)*5</f>
        <v>-2.5</v>
      </c>
      <c r="J6" s="47" t="s">
        <v>159</v>
      </c>
      <c r="L6" s="456"/>
      <c r="M6" s="456"/>
      <c r="N6" s="456"/>
      <c r="O6" s="37">
        <v>12</v>
      </c>
      <c r="P6" s="38">
        <f t="shared" si="0"/>
        <v>16282.5</v>
      </c>
      <c r="Q6" s="39"/>
      <c r="R6" s="37">
        <v>12</v>
      </c>
      <c r="S6" s="37">
        <f t="shared" si="1"/>
        <v>16282.5</v>
      </c>
      <c r="V6" s="40">
        <v>16700</v>
      </c>
    </row>
    <row r="7" spans="1:22" ht="13.5" customHeight="1">
      <c r="O7" s="37">
        <v>13</v>
      </c>
      <c r="P7" s="38">
        <f t="shared" si="0"/>
        <v>15112.5</v>
      </c>
      <c r="Q7" s="39"/>
      <c r="R7" s="37">
        <v>13</v>
      </c>
      <c r="S7" s="37">
        <f t="shared" si="1"/>
        <v>15112.5</v>
      </c>
      <c r="V7" s="40">
        <v>15500</v>
      </c>
    </row>
    <row r="8" spans="1:22">
      <c r="O8" s="37">
        <v>14</v>
      </c>
      <c r="P8" s="38">
        <f t="shared" si="0"/>
        <v>14040</v>
      </c>
      <c r="Q8" s="39"/>
      <c r="R8" s="37">
        <v>14</v>
      </c>
      <c r="S8" s="37">
        <f t="shared" si="1"/>
        <v>14040</v>
      </c>
      <c r="V8" s="40">
        <v>14400</v>
      </c>
    </row>
    <row r="9" spans="1:22" ht="12.75" customHeight="1">
      <c r="A9" s="48"/>
      <c r="B9" s="48"/>
      <c r="C9" s="48"/>
      <c r="D9" s="48"/>
      <c r="E9" s="48"/>
      <c r="F9" s="48"/>
      <c r="G9" s="48"/>
      <c r="H9" s="48"/>
      <c r="O9" s="37">
        <v>15</v>
      </c>
      <c r="P9" s="38">
        <f t="shared" si="0"/>
        <v>13162.5</v>
      </c>
      <c r="Q9" s="39"/>
      <c r="R9" s="37">
        <v>15</v>
      </c>
      <c r="S9" s="37">
        <f t="shared" si="1"/>
        <v>13162.5</v>
      </c>
      <c r="V9" s="40">
        <v>13500</v>
      </c>
    </row>
    <row r="10" spans="1:22" ht="13.8">
      <c r="A10" s="49"/>
      <c r="B10" s="50"/>
      <c r="C10" s="48"/>
      <c r="D10" s="48"/>
      <c r="E10" s="50"/>
      <c r="F10" s="50"/>
      <c r="G10" s="51"/>
      <c r="H10" s="48"/>
      <c r="O10" s="37">
        <v>16</v>
      </c>
      <c r="P10" s="38">
        <f t="shared" si="0"/>
        <v>12382.5</v>
      </c>
      <c r="Q10" s="39"/>
      <c r="R10" s="37">
        <v>16</v>
      </c>
      <c r="S10" s="37">
        <f t="shared" si="1"/>
        <v>12382.5</v>
      </c>
      <c r="V10" s="40">
        <v>12700</v>
      </c>
    </row>
    <row r="11" spans="1:22" ht="12.75" customHeight="1">
      <c r="A11" s="49"/>
      <c r="B11" s="50"/>
      <c r="C11" s="48"/>
      <c r="D11" s="48"/>
      <c r="E11" s="50"/>
      <c r="F11" s="50"/>
      <c r="G11" s="51"/>
      <c r="H11" s="48"/>
      <c r="I11" s="100"/>
      <c r="J11" s="100"/>
      <c r="O11" s="37">
        <v>17</v>
      </c>
      <c r="P11" s="38">
        <f t="shared" si="0"/>
        <v>11700</v>
      </c>
      <c r="Q11" s="39"/>
      <c r="R11" s="37">
        <v>17</v>
      </c>
      <c r="S11" s="37">
        <f t="shared" si="1"/>
        <v>11700</v>
      </c>
      <c r="V11" s="40">
        <v>12000</v>
      </c>
    </row>
    <row r="12" spans="1:22" ht="13.5" customHeight="1">
      <c r="A12" s="48"/>
      <c r="B12" s="48"/>
      <c r="C12" s="48"/>
      <c r="D12" s="102"/>
      <c r="E12" s="50"/>
      <c r="F12" s="50"/>
      <c r="G12" s="50"/>
      <c r="H12" s="48"/>
      <c r="K12" s="101"/>
      <c r="O12" s="37">
        <v>18</v>
      </c>
      <c r="P12" s="38">
        <f t="shared" si="0"/>
        <v>11115</v>
      </c>
      <c r="Q12" s="39"/>
      <c r="R12" s="37">
        <v>18</v>
      </c>
      <c r="S12" s="37">
        <f t="shared" si="1"/>
        <v>11115</v>
      </c>
      <c r="V12" s="40">
        <v>11400</v>
      </c>
    </row>
    <row r="13" spans="1:22" ht="13.8">
      <c r="A13" s="48"/>
      <c r="B13" s="48"/>
      <c r="C13" s="48"/>
      <c r="D13" s="102"/>
      <c r="E13" s="48"/>
      <c r="F13" s="48"/>
      <c r="G13" s="48"/>
      <c r="H13" s="48"/>
      <c r="K13" s="101"/>
      <c r="O13" s="37">
        <v>19</v>
      </c>
      <c r="P13" s="38">
        <f t="shared" si="0"/>
        <v>10627.5</v>
      </c>
      <c r="Q13" s="39"/>
      <c r="R13" s="37">
        <v>19</v>
      </c>
      <c r="S13" s="37">
        <f t="shared" si="1"/>
        <v>10627.5</v>
      </c>
      <c r="V13" s="40">
        <v>10900</v>
      </c>
    </row>
    <row r="14" spans="1:22" ht="13.8">
      <c r="A14" s="48"/>
      <c r="B14" s="48"/>
      <c r="C14" s="48"/>
      <c r="D14" s="102"/>
      <c r="E14" s="48"/>
      <c r="F14" s="48"/>
      <c r="G14" s="48"/>
      <c r="H14" s="48"/>
      <c r="K14" s="101"/>
      <c r="O14" s="37">
        <v>20</v>
      </c>
      <c r="P14" s="38">
        <f t="shared" si="0"/>
        <v>10140</v>
      </c>
      <c r="Q14" s="39"/>
      <c r="R14" s="37">
        <v>20</v>
      </c>
      <c r="S14" s="37">
        <f t="shared" si="1"/>
        <v>10140</v>
      </c>
      <c r="V14" s="40">
        <v>10400</v>
      </c>
    </row>
    <row r="15" spans="1:22" ht="12.75" customHeight="1">
      <c r="A15" s="48"/>
      <c r="B15" s="48"/>
      <c r="C15" s="48"/>
      <c r="D15" s="102"/>
      <c r="E15" s="48"/>
      <c r="F15" s="48"/>
      <c r="G15" s="48"/>
      <c r="H15" s="48"/>
      <c r="J15" t="s">
        <v>248</v>
      </c>
      <c r="K15" s="101"/>
      <c r="O15" s="37">
        <v>21</v>
      </c>
      <c r="P15" s="38">
        <f t="shared" si="0"/>
        <v>9750</v>
      </c>
      <c r="Q15" s="39"/>
      <c r="R15" s="37">
        <v>21</v>
      </c>
      <c r="S15" s="37">
        <f t="shared" si="1"/>
        <v>9750</v>
      </c>
      <c r="V15" s="40">
        <v>10000</v>
      </c>
    </row>
    <row r="16" spans="1:22" ht="12.75" customHeight="1">
      <c r="A16" s="48"/>
      <c r="B16" s="99"/>
      <c r="C16" s="52"/>
      <c r="D16" s="103"/>
      <c r="E16" s="52"/>
      <c r="F16" s="99"/>
      <c r="G16" s="52"/>
      <c r="H16" s="48"/>
      <c r="K16" s="101"/>
      <c r="O16" s="37">
        <v>22</v>
      </c>
      <c r="P16" s="38">
        <f t="shared" si="0"/>
        <v>9360</v>
      </c>
      <c r="Q16" s="39"/>
      <c r="R16" s="37">
        <v>22</v>
      </c>
      <c r="S16" s="37">
        <f t="shared" si="1"/>
        <v>9360</v>
      </c>
      <c r="V16" s="40">
        <v>9600</v>
      </c>
    </row>
    <row r="17" spans="1:22" ht="12.75" customHeight="1">
      <c r="A17" s="53"/>
      <c r="B17" s="54"/>
      <c r="C17" s="55"/>
      <c r="D17" s="104"/>
      <c r="E17" s="55"/>
      <c r="F17" s="54"/>
      <c r="G17" s="55"/>
      <c r="H17" s="48"/>
      <c r="K17" s="101"/>
      <c r="O17" s="37">
        <v>23</v>
      </c>
      <c r="P17" s="38">
        <f t="shared" si="0"/>
        <v>9067.5</v>
      </c>
      <c r="Q17" s="39"/>
      <c r="R17" s="37">
        <v>23</v>
      </c>
      <c r="S17" s="37">
        <f t="shared" si="1"/>
        <v>9067.5</v>
      </c>
      <c r="V17" s="40">
        <v>9300</v>
      </c>
    </row>
    <row r="18" spans="1:22" ht="12.75" customHeight="1">
      <c r="A18" s="53"/>
      <c r="B18" s="54"/>
      <c r="C18" s="55"/>
      <c r="D18" s="104"/>
      <c r="E18" s="55"/>
      <c r="F18" s="54"/>
      <c r="G18" s="55"/>
      <c r="H18" s="48"/>
      <c r="K18" s="101"/>
      <c r="O18" s="37">
        <v>24</v>
      </c>
      <c r="P18" s="38">
        <f t="shared" si="0"/>
        <v>8775</v>
      </c>
      <c r="Q18" s="39"/>
      <c r="R18" s="37">
        <v>24</v>
      </c>
      <c r="S18" s="37">
        <f t="shared" si="1"/>
        <v>8775</v>
      </c>
      <c r="V18" s="40">
        <v>9000</v>
      </c>
    </row>
    <row r="19" spans="1:22" ht="12.75" customHeight="1">
      <c r="A19" s="53"/>
      <c r="B19" s="54"/>
      <c r="C19" s="55"/>
      <c r="D19" s="104"/>
      <c r="E19" s="55"/>
      <c r="F19" s="54"/>
      <c r="G19" s="55"/>
      <c r="H19" s="48"/>
      <c r="K19" s="101"/>
      <c r="O19" s="37">
        <v>25</v>
      </c>
      <c r="P19" s="38">
        <f t="shared" si="0"/>
        <v>8482.5</v>
      </c>
      <c r="Q19" s="39"/>
      <c r="R19" s="37">
        <v>25</v>
      </c>
      <c r="S19" s="37">
        <f t="shared" si="1"/>
        <v>8482.5</v>
      </c>
      <c r="V19" s="40">
        <v>8700</v>
      </c>
    </row>
    <row r="20" spans="1:22" ht="12.75" customHeight="1">
      <c r="A20" s="53"/>
      <c r="B20" s="54"/>
      <c r="C20" s="55"/>
      <c r="D20" s="104"/>
      <c r="E20" s="55"/>
      <c r="F20" s="54"/>
      <c r="G20" s="55"/>
      <c r="H20" s="48"/>
      <c r="K20" s="101"/>
      <c r="O20" s="37">
        <v>26</v>
      </c>
      <c r="P20" s="38">
        <f t="shared" si="0"/>
        <v>8190</v>
      </c>
      <c r="Q20" s="39"/>
      <c r="R20" s="37">
        <v>26</v>
      </c>
      <c r="S20" s="37">
        <f t="shared" si="1"/>
        <v>8190</v>
      </c>
      <c r="V20" s="40">
        <v>8400</v>
      </c>
    </row>
    <row r="21" spans="1:22" ht="12.75" customHeight="1">
      <c r="A21" s="53"/>
      <c r="B21" s="54"/>
      <c r="C21" s="55"/>
      <c r="D21" s="104"/>
      <c r="E21" s="55"/>
      <c r="F21" s="55"/>
      <c r="G21" s="54"/>
      <c r="H21" s="55"/>
      <c r="K21" s="101"/>
      <c r="O21" s="37">
        <v>27</v>
      </c>
      <c r="P21" s="38">
        <f t="shared" si="0"/>
        <v>7897.5</v>
      </c>
      <c r="Q21" s="39"/>
      <c r="R21" s="37">
        <v>27</v>
      </c>
      <c r="S21" s="37">
        <f t="shared" si="1"/>
        <v>7897.5</v>
      </c>
      <c r="V21" s="40">
        <v>8100</v>
      </c>
    </row>
    <row r="22" spans="1:22" ht="14.25" customHeight="1">
      <c r="A22" s="53"/>
      <c r="B22" s="54"/>
      <c r="C22" s="55"/>
      <c r="D22" s="54"/>
      <c r="E22" s="55"/>
      <c r="F22" s="55"/>
      <c r="G22" s="54"/>
      <c r="H22" s="55"/>
      <c r="O22" s="37">
        <v>28</v>
      </c>
      <c r="P22" s="38">
        <f t="shared" si="0"/>
        <v>7605</v>
      </c>
      <c r="Q22" s="39"/>
      <c r="R22" s="37">
        <v>28</v>
      </c>
      <c r="S22" s="37">
        <f t="shared" si="1"/>
        <v>7605</v>
      </c>
      <c r="V22" s="40">
        <v>7800</v>
      </c>
    </row>
    <row r="23" spans="1:22" ht="15" customHeight="1">
      <c r="A23" s="53"/>
      <c r="B23" s="54"/>
      <c r="C23" s="55"/>
      <c r="D23" s="54"/>
      <c r="E23" s="55"/>
      <c r="F23" s="55"/>
      <c r="G23" s="54"/>
      <c r="H23" s="55"/>
      <c r="O23" s="37">
        <v>29</v>
      </c>
      <c r="P23" s="38">
        <f t="shared" si="0"/>
        <v>7312.5</v>
      </c>
      <c r="Q23" s="39"/>
      <c r="R23" s="37">
        <v>29</v>
      </c>
      <c r="S23" s="37">
        <f t="shared" si="1"/>
        <v>7312.5</v>
      </c>
      <c r="V23" s="40">
        <v>7500</v>
      </c>
    </row>
    <row r="24" spans="1:22" ht="14.25" customHeight="1">
      <c r="A24" s="53"/>
      <c r="B24" s="54"/>
      <c r="C24" s="55"/>
      <c r="D24" s="54"/>
      <c r="E24" s="55"/>
      <c r="F24" s="55"/>
      <c r="G24" s="54"/>
      <c r="H24" s="55"/>
      <c r="O24" s="39">
        <v>30</v>
      </c>
      <c r="P24" s="38">
        <f t="shared" si="0"/>
        <v>7020</v>
      </c>
      <c r="Q24" s="37"/>
      <c r="R24" s="37">
        <v>30</v>
      </c>
      <c r="S24" s="37">
        <f t="shared" si="1"/>
        <v>7020</v>
      </c>
      <c r="V24" s="40">
        <v>7200</v>
      </c>
    </row>
    <row r="25" spans="1:22" ht="14.25" customHeight="1">
      <c r="A25" s="589" t="s">
        <v>161</v>
      </c>
      <c r="B25" s="405"/>
      <c r="C25" s="582" t="s">
        <v>222</v>
      </c>
      <c r="D25" s="533"/>
      <c r="E25" s="589" t="s">
        <v>163</v>
      </c>
      <c r="F25" s="531"/>
      <c r="G25" s="531"/>
      <c r="H25" s="405"/>
      <c r="I25" s="582" t="s">
        <v>223</v>
      </c>
      <c r="J25" s="521"/>
      <c r="K25" s="533"/>
      <c r="L25" s="56"/>
      <c r="M25" s="56"/>
      <c r="O25" s="39">
        <v>31</v>
      </c>
      <c r="P25" s="38">
        <f t="shared" si="0"/>
        <v>6727.5</v>
      </c>
      <c r="Q25" s="37"/>
      <c r="R25" s="37">
        <v>31</v>
      </c>
      <c r="S25" s="37">
        <f t="shared" si="1"/>
        <v>6727.5</v>
      </c>
      <c r="V25" s="40">
        <v>6900</v>
      </c>
    </row>
    <row r="26" spans="1:22" ht="12.75" customHeight="1">
      <c r="A26" s="57" t="s">
        <v>165</v>
      </c>
      <c r="B26" s="57" t="s">
        <v>166</v>
      </c>
      <c r="C26" s="483"/>
      <c r="D26" s="534"/>
      <c r="E26" s="589" t="s">
        <v>165</v>
      </c>
      <c r="F26" s="405"/>
      <c r="G26" s="589" t="s">
        <v>166</v>
      </c>
      <c r="H26" s="405"/>
      <c r="I26" s="483"/>
      <c r="J26" s="525"/>
      <c r="K26" s="534"/>
      <c r="L26" s="56"/>
      <c r="M26" s="56"/>
      <c r="N26" s="56"/>
      <c r="O26" s="37">
        <v>32</v>
      </c>
      <c r="P26" s="38">
        <f t="shared" si="0"/>
        <v>6435</v>
      </c>
      <c r="Q26" s="39"/>
      <c r="R26" s="37">
        <v>32</v>
      </c>
      <c r="S26" s="37">
        <f t="shared" si="1"/>
        <v>6435</v>
      </c>
      <c r="V26" s="40">
        <v>6600</v>
      </c>
    </row>
    <row r="27" spans="1:22" ht="13.8">
      <c r="A27" s="83">
        <f>'Pracovník A'!E28</f>
        <v>9.3000000000000007</v>
      </c>
      <c r="B27" s="84">
        <f>'Pracovník A'!F28</f>
        <v>6</v>
      </c>
      <c r="C27" s="587" t="e">
        <f>#REF!</f>
        <v>#REF!</v>
      </c>
      <c r="D27" s="405"/>
      <c r="E27" s="588">
        <f>'Pracovník A'!G28</f>
        <v>7.2</v>
      </c>
      <c r="F27" s="405"/>
      <c r="G27" s="591">
        <f>'Pracovník A'!H28</f>
        <v>1.2</v>
      </c>
      <c r="H27" s="405"/>
      <c r="I27" s="590" t="e">
        <f>#REF!</f>
        <v>#REF!</v>
      </c>
      <c r="J27" s="531"/>
      <c r="K27" s="405"/>
      <c r="L27" s="58"/>
      <c r="M27" s="58"/>
      <c r="N27" s="56"/>
      <c r="O27" s="37">
        <v>33</v>
      </c>
      <c r="P27" s="38">
        <f t="shared" si="0"/>
        <v>6142.5</v>
      </c>
      <c r="Q27" s="39"/>
      <c r="R27" s="37">
        <v>33</v>
      </c>
      <c r="S27" s="37">
        <f t="shared" si="1"/>
        <v>6142.5</v>
      </c>
      <c r="V27" s="40">
        <v>6300</v>
      </c>
    </row>
    <row r="28" spans="1:22" ht="13.8">
      <c r="A28" s="59"/>
      <c r="B28" s="59"/>
      <c r="C28" s="59"/>
      <c r="D28" s="59"/>
      <c r="E28" s="59"/>
      <c r="F28" s="59"/>
      <c r="G28" s="59"/>
      <c r="H28" s="59"/>
      <c r="N28" s="58"/>
      <c r="O28" s="37">
        <v>34</v>
      </c>
      <c r="P28" s="38">
        <f t="shared" si="0"/>
        <v>5850</v>
      </c>
      <c r="Q28" s="39"/>
      <c r="R28" s="37">
        <v>34</v>
      </c>
      <c r="S28" s="37">
        <f t="shared" si="1"/>
        <v>5850</v>
      </c>
      <c r="V28" s="40">
        <v>6000</v>
      </c>
    </row>
    <row r="29" spans="1:22" ht="13.8">
      <c r="A29" s="59"/>
      <c r="B29" s="59"/>
      <c r="C29" s="59"/>
      <c r="D29" s="59"/>
      <c r="E29" s="59"/>
      <c r="F29" s="59"/>
      <c r="G29" s="59"/>
      <c r="H29" s="59"/>
      <c r="O29" s="37">
        <v>35</v>
      </c>
      <c r="P29" s="38">
        <f t="shared" si="0"/>
        <v>5655</v>
      </c>
      <c r="Q29" s="39"/>
      <c r="R29" s="37">
        <v>35</v>
      </c>
      <c r="S29" s="37">
        <f t="shared" si="1"/>
        <v>5655</v>
      </c>
      <c r="V29" s="40">
        <v>5800</v>
      </c>
    </row>
    <row r="30" spans="1:22" ht="13.8">
      <c r="A30" s="59"/>
      <c r="B30" s="59"/>
      <c r="C30" s="59"/>
      <c r="D30" s="59"/>
      <c r="E30" s="59"/>
      <c r="F30" s="59"/>
      <c r="G30" s="59"/>
      <c r="H30" s="59"/>
      <c r="O30" s="37">
        <v>36</v>
      </c>
      <c r="P30" s="38">
        <f t="shared" si="0"/>
        <v>5460</v>
      </c>
      <c r="Q30" s="39"/>
      <c r="R30" s="37">
        <v>36</v>
      </c>
      <c r="S30" s="37">
        <f t="shared" si="1"/>
        <v>5460</v>
      </c>
      <c r="V30" s="40">
        <v>5600</v>
      </c>
    </row>
    <row r="31" spans="1:22" ht="13.8">
      <c r="A31" s="59"/>
      <c r="B31" s="59"/>
      <c r="C31" s="59"/>
      <c r="D31" s="59"/>
      <c r="E31" s="59"/>
      <c r="F31" s="59"/>
      <c r="G31" s="59"/>
      <c r="H31" s="59"/>
      <c r="I31" s="60"/>
      <c r="O31" s="37">
        <v>37</v>
      </c>
      <c r="P31" s="38">
        <f t="shared" si="0"/>
        <v>5265</v>
      </c>
      <c r="Q31" s="39"/>
      <c r="R31" s="37">
        <v>37</v>
      </c>
      <c r="S31" s="37">
        <f t="shared" si="1"/>
        <v>5265</v>
      </c>
      <c r="V31" s="40">
        <v>5400</v>
      </c>
    </row>
    <row r="32" spans="1:22" ht="14.25" customHeight="1">
      <c r="A32" s="61"/>
      <c r="B32" s="62"/>
      <c r="C32" s="62"/>
      <c r="D32" s="62"/>
      <c r="E32" s="62"/>
      <c r="F32" s="62"/>
      <c r="G32" s="62"/>
      <c r="H32" s="62"/>
      <c r="O32" s="37">
        <v>38</v>
      </c>
      <c r="P32" s="38">
        <f t="shared" si="0"/>
        <v>5070</v>
      </c>
      <c r="Q32" s="39"/>
      <c r="R32" s="37">
        <v>38</v>
      </c>
      <c r="S32" s="37">
        <f t="shared" si="1"/>
        <v>5070</v>
      </c>
      <c r="V32" s="40">
        <v>5200</v>
      </c>
    </row>
    <row r="33" spans="1:24" ht="15" customHeight="1">
      <c r="A33" s="61"/>
      <c r="B33" s="62"/>
      <c r="C33" s="62"/>
      <c r="D33" s="62"/>
      <c r="E33" s="62"/>
      <c r="F33" s="62"/>
      <c r="G33" s="62"/>
      <c r="H33" s="62"/>
      <c r="O33" s="37">
        <v>39</v>
      </c>
      <c r="P33" s="38">
        <f t="shared" si="0"/>
        <v>4875</v>
      </c>
      <c r="Q33" s="39"/>
      <c r="R33" s="37">
        <v>39</v>
      </c>
      <c r="S33" s="37">
        <f t="shared" si="1"/>
        <v>4875</v>
      </c>
      <c r="T33" s="63"/>
      <c r="U33" s="63"/>
      <c r="V33" s="40">
        <v>5000</v>
      </c>
      <c r="W33" s="63"/>
    </row>
    <row r="34" spans="1:24" ht="12.75" customHeight="1">
      <c r="A34" s="59"/>
      <c r="B34" s="59"/>
      <c r="C34" s="59"/>
      <c r="D34" s="59"/>
      <c r="E34" s="59"/>
      <c r="F34" s="59"/>
      <c r="G34" s="59"/>
      <c r="H34" s="59"/>
      <c r="O34" s="37">
        <v>40</v>
      </c>
      <c r="P34" s="38">
        <f t="shared" si="0"/>
        <v>4680</v>
      </c>
      <c r="Q34" s="39"/>
      <c r="R34" s="37">
        <v>40</v>
      </c>
      <c r="S34" s="37">
        <f t="shared" si="1"/>
        <v>4680</v>
      </c>
      <c r="T34" s="64"/>
      <c r="U34" s="64"/>
      <c r="V34" s="40">
        <v>4800</v>
      </c>
      <c r="W34" s="64"/>
      <c r="X34" s="64"/>
    </row>
    <row r="35" spans="1:24" ht="13.5" customHeight="1">
      <c r="O35" s="37">
        <v>41</v>
      </c>
      <c r="P35" s="38">
        <f t="shared" si="0"/>
        <v>4485</v>
      </c>
      <c r="Q35" s="39"/>
      <c r="R35" s="37">
        <v>41</v>
      </c>
      <c r="S35" s="37">
        <f t="shared" si="1"/>
        <v>4485</v>
      </c>
      <c r="T35" s="65"/>
      <c r="U35" s="65"/>
      <c r="V35" s="40">
        <v>4600</v>
      </c>
      <c r="W35" s="65"/>
      <c r="X35" s="65"/>
    </row>
    <row r="36" spans="1:24" ht="13.5" customHeight="1">
      <c r="I36" s="66"/>
      <c r="O36" s="37">
        <v>42</v>
      </c>
      <c r="P36" s="38">
        <f t="shared" si="0"/>
        <v>4290</v>
      </c>
      <c r="Q36" s="39"/>
      <c r="R36" s="37">
        <v>42</v>
      </c>
      <c r="S36" s="37">
        <f t="shared" si="1"/>
        <v>4290</v>
      </c>
      <c r="V36" s="40">
        <v>4400</v>
      </c>
    </row>
    <row r="37" spans="1:24" ht="13.5" customHeight="1">
      <c r="I37" s="66"/>
      <c r="O37" s="37">
        <v>43</v>
      </c>
      <c r="P37" s="38">
        <f t="shared" si="0"/>
        <v>4095</v>
      </c>
      <c r="Q37" s="39"/>
      <c r="R37" s="37">
        <v>43</v>
      </c>
      <c r="S37" s="37">
        <f t="shared" si="1"/>
        <v>4095</v>
      </c>
      <c r="V37" s="40">
        <v>4200</v>
      </c>
    </row>
    <row r="38" spans="1:24" ht="13.5" customHeight="1">
      <c r="A38" s="67"/>
      <c r="B38" s="48"/>
      <c r="C38" s="48"/>
      <c r="D38" s="48"/>
      <c r="E38" s="48"/>
      <c r="F38" s="48"/>
      <c r="G38" s="48"/>
      <c r="H38" s="48"/>
      <c r="I38" s="68"/>
      <c r="J38" s="69"/>
      <c r="O38" s="37">
        <v>44</v>
      </c>
      <c r="P38" s="38">
        <f t="shared" si="0"/>
        <v>3900</v>
      </c>
      <c r="Q38" s="39"/>
      <c r="R38" s="37">
        <v>44</v>
      </c>
      <c r="S38" s="37">
        <f t="shared" si="1"/>
        <v>3900</v>
      </c>
      <c r="V38" s="40">
        <v>4000</v>
      </c>
    </row>
    <row r="39" spans="1:24" ht="13.5" customHeight="1">
      <c r="A39" s="48"/>
      <c r="B39" s="48"/>
      <c r="C39" s="48"/>
      <c r="D39" s="48"/>
      <c r="E39" s="48"/>
      <c r="F39" s="48"/>
      <c r="G39" s="48"/>
      <c r="H39" s="48"/>
      <c r="I39" s="68"/>
      <c r="J39" s="15"/>
      <c r="O39" s="37">
        <v>45</v>
      </c>
      <c r="P39" s="38">
        <f t="shared" si="0"/>
        <v>3705</v>
      </c>
      <c r="Q39" s="39"/>
      <c r="R39" s="37">
        <v>45</v>
      </c>
      <c r="S39" s="37">
        <f t="shared" si="1"/>
        <v>3705</v>
      </c>
      <c r="V39" s="40">
        <v>3800</v>
      </c>
    </row>
    <row r="40" spans="1:24" ht="13.5" customHeight="1">
      <c r="A40" s="581"/>
      <c r="B40" s="456"/>
      <c r="C40" s="48"/>
      <c r="D40" s="59"/>
      <c r="E40" s="59"/>
      <c r="F40" s="59"/>
      <c r="G40" s="59"/>
      <c r="H40" s="59"/>
      <c r="I40" s="68"/>
      <c r="O40" s="37">
        <v>46</v>
      </c>
      <c r="P40" s="38">
        <f t="shared" si="0"/>
        <v>3510</v>
      </c>
      <c r="Q40" s="39"/>
      <c r="R40" s="37">
        <v>46</v>
      </c>
      <c r="S40" s="37">
        <f t="shared" si="1"/>
        <v>3510</v>
      </c>
      <c r="V40" s="40">
        <v>3600</v>
      </c>
    </row>
    <row r="41" spans="1:24" ht="13.5" customHeight="1">
      <c r="A41" s="70"/>
      <c r="B41" s="70"/>
      <c r="C41" s="70"/>
      <c r="D41" s="70"/>
      <c r="E41" s="70"/>
      <c r="F41" s="70"/>
      <c r="G41" s="70"/>
      <c r="H41" s="70"/>
      <c r="I41" s="68"/>
      <c r="O41" s="37">
        <v>47</v>
      </c>
      <c r="P41" s="38">
        <f t="shared" si="0"/>
        <v>3315</v>
      </c>
      <c r="Q41" s="39"/>
      <c r="R41" s="37">
        <v>47</v>
      </c>
      <c r="S41" s="37">
        <f t="shared" si="1"/>
        <v>3315</v>
      </c>
      <c r="U41" s="71"/>
      <c r="V41" s="40">
        <v>3400</v>
      </c>
    </row>
    <row r="42" spans="1:24" ht="13.5" customHeight="1">
      <c r="A42" s="70"/>
      <c r="B42" s="70"/>
      <c r="C42" s="70"/>
      <c r="D42" s="70"/>
      <c r="E42" s="70"/>
      <c r="F42" s="70"/>
      <c r="G42" s="70"/>
      <c r="H42" s="70"/>
      <c r="I42" s="68"/>
      <c r="J42" s="72"/>
      <c r="O42" s="37">
        <v>48</v>
      </c>
      <c r="P42" s="38">
        <f t="shared" si="0"/>
        <v>3120</v>
      </c>
      <c r="Q42" s="39"/>
      <c r="R42" s="37">
        <v>48</v>
      </c>
      <c r="S42" s="37">
        <f t="shared" si="1"/>
        <v>3120</v>
      </c>
      <c r="U42" s="71"/>
      <c r="V42" s="40">
        <v>3200</v>
      </c>
    </row>
    <row r="43" spans="1:24" ht="13.5" customHeight="1">
      <c r="A43" s="70"/>
      <c r="B43" s="70"/>
      <c r="C43" s="70"/>
      <c r="D43" s="70"/>
      <c r="E43" s="70"/>
      <c r="F43" s="70"/>
      <c r="G43" s="70"/>
      <c r="H43" s="70"/>
      <c r="I43" s="68"/>
      <c r="O43" s="37">
        <v>49</v>
      </c>
      <c r="P43" s="38">
        <f t="shared" si="0"/>
        <v>2925</v>
      </c>
      <c r="Q43" s="39"/>
      <c r="R43" s="37">
        <v>49</v>
      </c>
      <c r="S43" s="37">
        <f t="shared" si="1"/>
        <v>2925</v>
      </c>
      <c r="V43" s="40">
        <v>3000</v>
      </c>
    </row>
    <row r="44" spans="1:24" ht="13.5" customHeight="1">
      <c r="A44" s="48"/>
      <c r="B44" s="48"/>
      <c r="C44" s="48"/>
      <c r="D44" s="59"/>
      <c r="E44" s="59"/>
      <c r="F44" s="59"/>
      <c r="G44" s="59"/>
      <c r="H44" s="59"/>
      <c r="I44" s="66"/>
      <c r="O44" s="37">
        <v>50</v>
      </c>
      <c r="P44" s="38">
        <f t="shared" si="0"/>
        <v>2632.5</v>
      </c>
      <c r="Q44" s="39"/>
      <c r="R44" s="37">
        <v>50</v>
      </c>
      <c r="S44" s="37">
        <f t="shared" si="1"/>
        <v>2632.5</v>
      </c>
      <c r="V44" s="40">
        <v>2700</v>
      </c>
    </row>
    <row r="45" spans="1:24" ht="13.5" customHeight="1">
      <c r="A45" s="73"/>
      <c r="B45" s="73"/>
      <c r="C45" s="73"/>
      <c r="D45" s="73"/>
      <c r="E45" s="59"/>
      <c r="F45" s="59"/>
      <c r="G45" s="59"/>
      <c r="H45" s="59"/>
      <c r="I45" s="66"/>
      <c r="O45" s="37">
        <v>51</v>
      </c>
      <c r="P45" s="38">
        <f t="shared" si="0"/>
        <v>2340</v>
      </c>
      <c r="Q45" s="39"/>
      <c r="R45" s="37">
        <v>51</v>
      </c>
      <c r="S45" s="37">
        <f t="shared" si="1"/>
        <v>2340</v>
      </c>
      <c r="V45" s="40">
        <v>2400</v>
      </c>
    </row>
    <row r="46" spans="1:24" ht="13.5" customHeight="1">
      <c r="A46" s="50"/>
      <c r="B46" s="50"/>
      <c r="C46" s="50"/>
      <c r="D46" s="50"/>
      <c r="E46" s="50"/>
      <c r="F46" s="50"/>
      <c r="G46" s="50"/>
      <c r="H46" s="50"/>
      <c r="I46" s="66"/>
      <c r="O46" s="37">
        <v>52</v>
      </c>
      <c r="P46" s="38">
        <f t="shared" si="0"/>
        <v>2047.5</v>
      </c>
      <c r="Q46" s="39"/>
      <c r="R46" s="37">
        <v>52</v>
      </c>
      <c r="S46" s="37">
        <f t="shared" si="1"/>
        <v>2047.5</v>
      </c>
      <c r="V46" s="40">
        <v>2100</v>
      </c>
    </row>
    <row r="47" spans="1:24" ht="13.5" customHeight="1">
      <c r="A47" s="74"/>
      <c r="B47" s="74"/>
      <c r="C47" s="74"/>
      <c r="D47" s="74"/>
      <c r="E47" s="74"/>
      <c r="F47" s="74"/>
      <c r="G47" s="74"/>
      <c r="H47" s="74"/>
      <c r="I47" s="66"/>
      <c r="O47" s="37">
        <v>53</v>
      </c>
      <c r="P47" s="38">
        <f t="shared" si="0"/>
        <v>1755</v>
      </c>
      <c r="Q47" s="39"/>
      <c r="R47" s="37">
        <v>53</v>
      </c>
      <c r="S47" s="37">
        <f t="shared" si="1"/>
        <v>1755</v>
      </c>
      <c r="V47" s="40">
        <v>1800</v>
      </c>
    </row>
    <row r="48" spans="1:24" ht="13.5" customHeight="1">
      <c r="A48" s="73"/>
      <c r="B48" s="73"/>
      <c r="C48" s="75"/>
      <c r="D48" s="75"/>
      <c r="E48" s="75"/>
      <c r="F48" s="75"/>
      <c r="G48" s="74"/>
      <c r="H48" s="74"/>
      <c r="I48" s="66"/>
      <c r="O48" s="37"/>
    </row>
    <row r="49" spans="1:15" ht="13.5" customHeight="1">
      <c r="A49" s="50"/>
      <c r="B49" s="50"/>
      <c r="C49" s="50"/>
      <c r="D49" s="50"/>
      <c r="E49" s="50"/>
      <c r="F49" s="50"/>
      <c r="G49" s="74"/>
      <c r="H49" s="74"/>
      <c r="I49" s="66"/>
      <c r="O49" s="37"/>
    </row>
    <row r="50" spans="1:15" ht="13.5" customHeight="1">
      <c r="A50" s="50"/>
      <c r="B50" s="50"/>
      <c r="C50" s="50"/>
      <c r="D50" s="50"/>
      <c r="E50" s="50"/>
      <c r="F50" s="50"/>
      <c r="G50" s="50"/>
      <c r="H50" s="50"/>
      <c r="I50" s="66"/>
    </row>
    <row r="51" spans="1:15" ht="13.5" customHeight="1">
      <c r="A51" s="76"/>
      <c r="B51" s="48"/>
      <c r="C51" s="48"/>
      <c r="D51" s="48"/>
      <c r="E51" s="59"/>
      <c r="F51" s="59"/>
      <c r="G51" s="59"/>
      <c r="H51" s="59"/>
      <c r="I51" s="66"/>
    </row>
    <row r="52" spans="1:15" ht="13.5" customHeight="1">
      <c r="A52" s="76"/>
      <c r="B52" s="48"/>
      <c r="C52" s="48"/>
      <c r="D52" s="48"/>
      <c r="E52" s="48"/>
      <c r="F52" s="48"/>
      <c r="G52" s="48"/>
      <c r="H52" s="48"/>
    </row>
    <row r="53" spans="1:15" ht="13.5" customHeight="1">
      <c r="A53" s="48"/>
      <c r="B53" s="48"/>
      <c r="C53" s="48"/>
      <c r="D53" s="48"/>
      <c r="E53" s="48"/>
      <c r="F53" s="48"/>
      <c r="G53" s="48"/>
      <c r="H53" s="48"/>
    </row>
    <row r="54" spans="1:15" ht="13.5" customHeight="1">
      <c r="A54" s="76"/>
      <c r="B54" s="48"/>
      <c r="C54" s="48"/>
      <c r="D54" s="48"/>
      <c r="E54" s="48"/>
      <c r="F54" s="48"/>
      <c r="G54" s="48"/>
      <c r="H54" s="48"/>
    </row>
    <row r="55" spans="1:15" ht="13.5" customHeight="1">
      <c r="A55" s="585"/>
      <c r="B55" s="456"/>
      <c r="C55" s="456"/>
      <c r="D55" s="456"/>
      <c r="E55" s="456"/>
      <c r="F55" s="456"/>
      <c r="G55" s="456"/>
      <c r="H55" s="456"/>
    </row>
    <row r="56" spans="1:15" ht="13.5" customHeight="1">
      <c r="A56" s="76"/>
      <c r="B56" s="48"/>
      <c r="C56" s="48"/>
      <c r="D56" s="48"/>
      <c r="E56" s="48"/>
      <c r="F56" s="48"/>
      <c r="G56" s="48"/>
      <c r="H56" s="48"/>
    </row>
    <row r="57" spans="1:15" ht="13.5" customHeight="1">
      <c r="A57" s="586"/>
      <c r="B57" s="456"/>
      <c r="C57" s="456"/>
      <c r="D57" s="456"/>
      <c r="E57" s="456"/>
      <c r="F57" s="456"/>
      <c r="G57" s="456"/>
      <c r="H57" s="456"/>
    </row>
    <row r="58" spans="1:15" ht="13.5" customHeight="1">
      <c r="B58" s="77"/>
      <c r="C58" s="77"/>
      <c r="D58" s="77"/>
    </row>
    <row r="59" spans="1:15" ht="13.5" customHeight="1"/>
    <row r="60" spans="1:15" ht="13.5" customHeight="1"/>
    <row r="61" spans="1:15" ht="13.5" customHeight="1"/>
    <row r="62" spans="1:15" ht="13.35" customHeight="1"/>
    <row r="63" spans="1:15">
      <c r="A63" s="78"/>
      <c r="H63" s="62"/>
      <c r="I63" s="79"/>
    </row>
    <row r="64" spans="1:15">
      <c r="A64" s="77"/>
      <c r="B64" s="80"/>
      <c r="C64" s="80"/>
      <c r="D64" s="81"/>
      <c r="H64" s="80"/>
      <c r="I64" s="82"/>
    </row>
  </sheetData>
  <sheetProtection sheet="1" objects="1" scenarios="1"/>
  <mergeCells count="21">
    <mergeCell ref="A55:H55"/>
    <mergeCell ref="A57:H57"/>
    <mergeCell ref="C27:D27"/>
    <mergeCell ref="E27:F27"/>
    <mergeCell ref="I25:K26"/>
    <mergeCell ref="E26:F26"/>
    <mergeCell ref="G26:H26"/>
    <mergeCell ref="I27:K27"/>
    <mergeCell ref="G27:H27"/>
    <mergeCell ref="E25:H25"/>
    <mergeCell ref="A25:B25"/>
    <mergeCell ref="A1:F1"/>
    <mergeCell ref="D5:H5"/>
    <mergeCell ref="A40:B40"/>
    <mergeCell ref="C25:D26"/>
    <mergeCell ref="L4:N6"/>
    <mergeCell ref="A4:F4"/>
    <mergeCell ref="A3:F3"/>
    <mergeCell ref="A6:B6"/>
    <mergeCell ref="A2:F2"/>
    <mergeCell ref="D6:H6"/>
  </mergeCells>
  <printOptions horizontalCentered="1"/>
  <pageMargins left="0.59055118110236215" right="0.59055118110236215" top="0.19685039370078741" bottom="0.19685039370078741" header="0.19685039370078741" footer="0.19685039370078741"/>
  <pageSetup paperSize="9" scale="95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List19">
    <tabColor theme="7" tint="0.59999389629810485"/>
  </sheetPr>
  <dimension ref="A1:X64"/>
  <sheetViews>
    <sheetView workbookViewId="0">
      <selection sqref="A1:F1"/>
    </sheetView>
  </sheetViews>
  <sheetFormatPr defaultRowHeight="13.2"/>
  <cols>
    <col min="1" max="4" width="10.6640625" customWidth="1"/>
    <col min="5" max="8" width="5.6640625" customWidth="1"/>
    <col min="9" max="9" width="7.6640625" customWidth="1"/>
    <col min="10" max="14" width="5.6640625" customWidth="1"/>
    <col min="15" max="15" width="9.109375" customWidth="1"/>
    <col min="16" max="16" width="8.88671875" style="71" customWidth="1"/>
    <col min="18" max="18" width="9.109375" customWidth="1"/>
    <col min="22" max="22" width="8.88671875" style="40" customWidth="1"/>
  </cols>
  <sheetData>
    <row r="1" spans="1:22" ht="13.5" customHeight="1">
      <c r="A1" s="579" t="s">
        <v>240</v>
      </c>
      <c r="B1" s="456"/>
      <c r="C1" s="456"/>
      <c r="D1" s="456"/>
      <c r="E1" s="456"/>
      <c r="F1" s="456"/>
      <c r="G1" s="35"/>
      <c r="H1" s="35"/>
      <c r="L1" s="36"/>
      <c r="M1" s="36"/>
      <c r="N1" s="36"/>
      <c r="O1" s="37">
        <v>7</v>
      </c>
      <c r="P1" s="38">
        <f t="shared" ref="P1:P47" si="0">((V1/100)*$I$6)+V1</f>
        <v>26910</v>
      </c>
      <c r="Q1" s="39"/>
      <c r="R1" s="37">
        <v>7</v>
      </c>
      <c r="S1" s="37">
        <f t="shared" ref="S1:S47" si="1">((V1/100)*$I$6)+V1</f>
        <v>26910</v>
      </c>
      <c r="V1" s="40">
        <v>27600</v>
      </c>
    </row>
    <row r="2" spans="1:22" ht="13.5" customHeight="1">
      <c r="A2" s="592" t="s">
        <v>241</v>
      </c>
      <c r="B2" s="456"/>
      <c r="C2" s="456"/>
      <c r="D2" s="456"/>
      <c r="E2" s="456"/>
      <c r="F2" s="456"/>
      <c r="G2" s="35"/>
      <c r="H2" s="35"/>
      <c r="L2" s="36"/>
      <c r="M2" s="36"/>
      <c r="N2" s="36"/>
      <c r="O2" s="37">
        <v>8</v>
      </c>
      <c r="P2" s="38">
        <f t="shared" si="0"/>
        <v>23692.5</v>
      </c>
      <c r="Q2" s="39"/>
      <c r="R2" s="37">
        <v>8</v>
      </c>
      <c r="S2" s="37">
        <f t="shared" si="1"/>
        <v>23692.5</v>
      </c>
      <c r="V2" s="40">
        <v>24300</v>
      </c>
    </row>
    <row r="3" spans="1:22" ht="13.5" customHeight="1">
      <c r="A3" s="592" t="s">
        <v>242</v>
      </c>
      <c r="B3" s="456"/>
      <c r="C3" s="456"/>
      <c r="D3" s="456"/>
      <c r="E3" s="456"/>
      <c r="F3" s="456"/>
      <c r="G3" s="35"/>
      <c r="H3" s="35"/>
      <c r="L3" s="36"/>
      <c r="M3" s="36"/>
      <c r="N3" s="36"/>
      <c r="O3" s="37">
        <v>9</v>
      </c>
      <c r="P3" s="38">
        <f t="shared" si="0"/>
        <v>21255</v>
      </c>
      <c r="Q3" s="39"/>
      <c r="R3" s="37">
        <v>9</v>
      </c>
      <c r="S3" s="37">
        <f t="shared" si="1"/>
        <v>21255</v>
      </c>
      <c r="V3" s="40">
        <v>21800</v>
      </c>
    </row>
    <row r="4" spans="1:22" ht="13.5" customHeight="1">
      <c r="A4" s="584" t="s">
        <v>243</v>
      </c>
      <c r="B4" s="525"/>
      <c r="C4" s="525"/>
      <c r="D4" s="525"/>
      <c r="E4" s="525"/>
      <c r="F4" s="525"/>
      <c r="G4" s="41"/>
      <c r="H4" s="41"/>
      <c r="I4" s="42"/>
      <c r="J4" s="42"/>
      <c r="L4" s="583" t="s">
        <v>244</v>
      </c>
      <c r="M4" s="456"/>
      <c r="N4" s="456"/>
      <c r="O4" s="37">
        <v>10</v>
      </c>
      <c r="P4" s="38">
        <f t="shared" si="0"/>
        <v>19305</v>
      </c>
      <c r="Q4" s="39"/>
      <c r="R4" s="37">
        <v>10</v>
      </c>
      <c r="S4" s="37">
        <f t="shared" si="1"/>
        <v>19305</v>
      </c>
      <c r="V4" s="40">
        <v>19800</v>
      </c>
    </row>
    <row r="5" spans="1:22" ht="13.95" customHeight="1">
      <c r="D5" s="580" t="s">
        <v>245</v>
      </c>
      <c r="E5" s="531"/>
      <c r="F5" s="531"/>
      <c r="G5" s="531"/>
      <c r="H5" s="531"/>
      <c r="I5" s="43">
        <f>'Časový snímek'!N6/60</f>
        <v>7.5</v>
      </c>
      <c r="J5" s="44" t="s">
        <v>157</v>
      </c>
      <c r="L5" s="456"/>
      <c r="M5" s="456"/>
      <c r="N5" s="456"/>
      <c r="O5" s="37">
        <v>11</v>
      </c>
      <c r="P5" s="38">
        <f t="shared" si="0"/>
        <v>17647.5</v>
      </c>
      <c r="Q5" s="39"/>
      <c r="R5" s="37">
        <v>11</v>
      </c>
      <c r="S5" s="37">
        <f t="shared" si="1"/>
        <v>17647.5</v>
      </c>
      <c r="V5" s="40">
        <v>18100</v>
      </c>
    </row>
    <row r="6" spans="1:22" ht="15" customHeight="1">
      <c r="A6" s="593" t="s">
        <v>246</v>
      </c>
      <c r="B6" s="456"/>
      <c r="C6" s="45"/>
      <c r="D6" s="580" t="s">
        <v>247</v>
      </c>
      <c r="E6" s="531"/>
      <c r="F6" s="531"/>
      <c r="G6" s="531"/>
      <c r="H6" s="531"/>
      <c r="I6" s="46">
        <f>(I5-8)*5</f>
        <v>-2.5</v>
      </c>
      <c r="J6" s="47" t="s">
        <v>159</v>
      </c>
      <c r="L6" s="456"/>
      <c r="M6" s="456"/>
      <c r="N6" s="456"/>
      <c r="O6" s="37">
        <v>12</v>
      </c>
      <c r="P6" s="38">
        <f t="shared" si="0"/>
        <v>16282.5</v>
      </c>
      <c r="Q6" s="39"/>
      <c r="R6" s="37">
        <v>12</v>
      </c>
      <c r="S6" s="37">
        <f t="shared" si="1"/>
        <v>16282.5</v>
      </c>
      <c r="V6" s="40">
        <v>16700</v>
      </c>
    </row>
    <row r="7" spans="1:22" ht="13.5" customHeight="1">
      <c r="O7" s="37">
        <v>13</v>
      </c>
      <c r="P7" s="38">
        <f t="shared" si="0"/>
        <v>15112.5</v>
      </c>
      <c r="Q7" s="39"/>
      <c r="R7" s="37">
        <v>13</v>
      </c>
      <c r="S7" s="37">
        <f t="shared" si="1"/>
        <v>15112.5</v>
      </c>
      <c r="V7" s="40">
        <v>15500</v>
      </c>
    </row>
    <row r="8" spans="1:22">
      <c r="O8" s="37">
        <v>14</v>
      </c>
      <c r="P8" s="38">
        <f t="shared" si="0"/>
        <v>14040</v>
      </c>
      <c r="Q8" s="39"/>
      <c r="R8" s="37">
        <v>14</v>
      </c>
      <c r="S8" s="37">
        <f t="shared" si="1"/>
        <v>14040</v>
      </c>
      <c r="V8" s="40">
        <v>14400</v>
      </c>
    </row>
    <row r="9" spans="1:22" ht="12.75" customHeight="1">
      <c r="A9" s="48"/>
      <c r="B9" s="48"/>
      <c r="C9" s="48"/>
      <c r="D9" s="48"/>
      <c r="E9" s="48"/>
      <c r="F9" s="48"/>
      <c r="G9" s="48"/>
      <c r="H9" s="48"/>
      <c r="O9" s="37">
        <v>15</v>
      </c>
      <c r="P9" s="38">
        <f t="shared" si="0"/>
        <v>13162.5</v>
      </c>
      <c r="Q9" s="39"/>
      <c r="R9" s="37">
        <v>15</v>
      </c>
      <c r="S9" s="37">
        <f t="shared" si="1"/>
        <v>13162.5</v>
      </c>
      <c r="V9" s="40">
        <v>13500</v>
      </c>
    </row>
    <row r="10" spans="1:22" ht="13.8">
      <c r="A10" s="49"/>
      <c r="B10" s="50"/>
      <c r="C10" s="48"/>
      <c r="D10" s="48"/>
      <c r="E10" s="50"/>
      <c r="F10" s="50"/>
      <c r="G10" s="51"/>
      <c r="H10" s="48"/>
      <c r="O10" s="37">
        <v>16</v>
      </c>
      <c r="P10" s="38">
        <f t="shared" si="0"/>
        <v>12382.5</v>
      </c>
      <c r="Q10" s="39"/>
      <c r="R10" s="37">
        <v>16</v>
      </c>
      <c r="S10" s="37">
        <f t="shared" si="1"/>
        <v>12382.5</v>
      </c>
      <c r="V10" s="40">
        <v>12700</v>
      </c>
    </row>
    <row r="11" spans="1:22" ht="12.75" customHeight="1">
      <c r="A11" s="49"/>
      <c r="B11" s="50"/>
      <c r="C11" s="48"/>
      <c r="D11" s="48"/>
      <c r="E11" s="50"/>
      <c r="F11" s="50"/>
      <c r="G11" s="51"/>
      <c r="H11" s="48"/>
      <c r="I11" s="100"/>
      <c r="J11" s="100"/>
      <c r="O11" s="37">
        <v>17</v>
      </c>
      <c r="P11" s="38">
        <f t="shared" si="0"/>
        <v>11700</v>
      </c>
      <c r="Q11" s="39"/>
      <c r="R11" s="37">
        <v>17</v>
      </c>
      <c r="S11" s="37">
        <f t="shared" si="1"/>
        <v>11700</v>
      </c>
      <c r="V11" s="40">
        <v>12000</v>
      </c>
    </row>
    <row r="12" spans="1:22" ht="13.5" customHeight="1">
      <c r="A12" s="48"/>
      <c r="B12" s="48"/>
      <c r="C12" s="48"/>
      <c r="D12" s="102"/>
      <c r="E12" s="50"/>
      <c r="F12" s="50"/>
      <c r="G12" s="50"/>
      <c r="H12" s="48"/>
      <c r="K12" s="101"/>
      <c r="O12" s="37">
        <v>18</v>
      </c>
      <c r="P12" s="38">
        <f t="shared" si="0"/>
        <v>11115</v>
      </c>
      <c r="Q12" s="39"/>
      <c r="R12" s="37">
        <v>18</v>
      </c>
      <c r="S12" s="37">
        <f t="shared" si="1"/>
        <v>11115</v>
      </c>
      <c r="V12" s="40">
        <v>11400</v>
      </c>
    </row>
    <row r="13" spans="1:22" ht="13.8">
      <c r="A13" s="48"/>
      <c r="B13" s="48"/>
      <c r="C13" s="48"/>
      <c r="D13" s="102"/>
      <c r="E13" s="48"/>
      <c r="F13" s="48"/>
      <c r="G13" s="48"/>
      <c r="H13" s="48"/>
      <c r="K13" s="101"/>
      <c r="O13" s="37">
        <v>19</v>
      </c>
      <c r="P13" s="38">
        <f t="shared" si="0"/>
        <v>10627.5</v>
      </c>
      <c r="Q13" s="39"/>
      <c r="R13" s="37">
        <v>19</v>
      </c>
      <c r="S13" s="37">
        <f t="shared" si="1"/>
        <v>10627.5</v>
      </c>
      <c r="V13" s="40">
        <v>10900</v>
      </c>
    </row>
    <row r="14" spans="1:22" ht="13.8">
      <c r="A14" s="48"/>
      <c r="B14" s="48"/>
      <c r="C14" s="48"/>
      <c r="D14" s="102"/>
      <c r="E14" s="48"/>
      <c r="F14" s="48"/>
      <c r="G14" s="48"/>
      <c r="H14" s="48"/>
      <c r="K14" s="101"/>
      <c r="O14" s="37">
        <v>20</v>
      </c>
      <c r="P14" s="38">
        <f t="shared" si="0"/>
        <v>10140</v>
      </c>
      <c r="Q14" s="39"/>
      <c r="R14" s="37">
        <v>20</v>
      </c>
      <c r="S14" s="37">
        <f t="shared" si="1"/>
        <v>10140</v>
      </c>
      <c r="V14" s="40">
        <v>10400</v>
      </c>
    </row>
    <row r="15" spans="1:22" ht="12.75" customHeight="1">
      <c r="A15" s="48"/>
      <c r="B15" s="48"/>
      <c r="C15" s="48"/>
      <c r="D15" s="102"/>
      <c r="E15" s="48"/>
      <c r="F15" s="48"/>
      <c r="G15" s="48"/>
      <c r="H15" s="48"/>
      <c r="J15" t="s">
        <v>248</v>
      </c>
      <c r="K15" s="101"/>
      <c r="O15" s="37">
        <v>21</v>
      </c>
      <c r="P15" s="38">
        <f t="shared" si="0"/>
        <v>9750</v>
      </c>
      <c r="Q15" s="39"/>
      <c r="R15" s="37">
        <v>21</v>
      </c>
      <c r="S15" s="37">
        <f t="shared" si="1"/>
        <v>9750</v>
      </c>
      <c r="V15" s="40">
        <v>10000</v>
      </c>
    </row>
    <row r="16" spans="1:22" ht="12.75" customHeight="1">
      <c r="A16" s="48"/>
      <c r="B16" s="99"/>
      <c r="C16" s="52"/>
      <c r="D16" s="103"/>
      <c r="E16" s="52"/>
      <c r="F16" s="99"/>
      <c r="G16" s="52"/>
      <c r="H16" s="48"/>
      <c r="K16" s="101"/>
      <c r="O16" s="37">
        <v>22</v>
      </c>
      <c r="P16" s="38">
        <f t="shared" si="0"/>
        <v>9360</v>
      </c>
      <c r="Q16" s="39"/>
      <c r="R16" s="37">
        <v>22</v>
      </c>
      <c r="S16" s="37">
        <f t="shared" si="1"/>
        <v>9360</v>
      </c>
      <c r="V16" s="40">
        <v>9600</v>
      </c>
    </row>
    <row r="17" spans="1:22" ht="12.75" customHeight="1">
      <c r="A17" s="53"/>
      <c r="B17" s="54"/>
      <c r="C17" s="55"/>
      <c r="D17" s="104"/>
      <c r="E17" s="55"/>
      <c r="F17" s="54"/>
      <c r="G17" s="55"/>
      <c r="H17" s="48"/>
      <c r="K17" s="101"/>
      <c r="O17" s="37">
        <v>23</v>
      </c>
      <c r="P17" s="38">
        <f t="shared" si="0"/>
        <v>9067.5</v>
      </c>
      <c r="Q17" s="39"/>
      <c r="R17" s="37">
        <v>23</v>
      </c>
      <c r="S17" s="37">
        <f t="shared" si="1"/>
        <v>9067.5</v>
      </c>
      <c r="V17" s="40">
        <v>9300</v>
      </c>
    </row>
    <row r="18" spans="1:22" ht="12.75" customHeight="1">
      <c r="A18" s="53"/>
      <c r="B18" s="54"/>
      <c r="C18" s="55"/>
      <c r="D18" s="104"/>
      <c r="E18" s="55"/>
      <c r="F18" s="54"/>
      <c r="G18" s="55"/>
      <c r="H18" s="48"/>
      <c r="K18" s="101"/>
      <c r="O18" s="37">
        <v>24</v>
      </c>
      <c r="P18" s="38">
        <f t="shared" si="0"/>
        <v>8775</v>
      </c>
      <c r="Q18" s="39"/>
      <c r="R18" s="37">
        <v>24</v>
      </c>
      <c r="S18" s="37">
        <f t="shared" si="1"/>
        <v>8775</v>
      </c>
      <c r="V18" s="40">
        <v>9000</v>
      </c>
    </row>
    <row r="19" spans="1:22" ht="12.75" customHeight="1">
      <c r="A19" s="53"/>
      <c r="B19" s="54"/>
      <c r="C19" s="55"/>
      <c r="D19" s="104"/>
      <c r="E19" s="55"/>
      <c r="F19" s="54"/>
      <c r="G19" s="55"/>
      <c r="H19" s="48"/>
      <c r="K19" s="101"/>
      <c r="O19" s="37">
        <v>25</v>
      </c>
      <c r="P19" s="38">
        <f t="shared" si="0"/>
        <v>8482.5</v>
      </c>
      <c r="Q19" s="39"/>
      <c r="R19" s="37">
        <v>25</v>
      </c>
      <c r="S19" s="37">
        <f t="shared" si="1"/>
        <v>8482.5</v>
      </c>
      <c r="V19" s="40">
        <v>8700</v>
      </c>
    </row>
    <row r="20" spans="1:22" ht="12.75" customHeight="1">
      <c r="A20" s="53"/>
      <c r="B20" s="54"/>
      <c r="C20" s="55"/>
      <c r="D20" s="104"/>
      <c r="E20" s="55"/>
      <c r="F20" s="54"/>
      <c r="G20" s="55"/>
      <c r="H20" s="48"/>
      <c r="K20" s="101"/>
      <c r="O20" s="37">
        <v>26</v>
      </c>
      <c r="P20" s="38">
        <f t="shared" si="0"/>
        <v>8190</v>
      </c>
      <c r="Q20" s="39"/>
      <c r="R20" s="37">
        <v>26</v>
      </c>
      <c r="S20" s="37">
        <f t="shared" si="1"/>
        <v>8190</v>
      </c>
      <c r="V20" s="40">
        <v>8400</v>
      </c>
    </row>
    <row r="21" spans="1:22" ht="12.75" customHeight="1">
      <c r="A21" s="53"/>
      <c r="B21" s="54"/>
      <c r="C21" s="55"/>
      <c r="D21" s="104"/>
      <c r="E21" s="55"/>
      <c r="F21" s="55"/>
      <c r="G21" s="54"/>
      <c r="H21" s="55"/>
      <c r="K21" s="101"/>
      <c r="O21" s="37">
        <v>27</v>
      </c>
      <c r="P21" s="38">
        <f t="shared" si="0"/>
        <v>7897.5</v>
      </c>
      <c r="Q21" s="39"/>
      <c r="R21" s="37">
        <v>27</v>
      </c>
      <c r="S21" s="37">
        <f t="shared" si="1"/>
        <v>7897.5</v>
      </c>
      <c r="V21" s="40">
        <v>8100</v>
      </c>
    </row>
    <row r="22" spans="1:22" ht="14.25" customHeight="1">
      <c r="A22" s="53"/>
      <c r="B22" s="54"/>
      <c r="C22" s="55"/>
      <c r="D22" s="54"/>
      <c r="E22" s="55"/>
      <c r="F22" s="55"/>
      <c r="G22" s="54"/>
      <c r="H22" s="55"/>
      <c r="O22" s="37">
        <v>28</v>
      </c>
      <c r="P22" s="38">
        <f t="shared" si="0"/>
        <v>7605</v>
      </c>
      <c r="Q22" s="39"/>
      <c r="R22" s="37">
        <v>28</v>
      </c>
      <c r="S22" s="37">
        <f t="shared" si="1"/>
        <v>7605</v>
      </c>
      <c r="V22" s="40">
        <v>7800</v>
      </c>
    </row>
    <row r="23" spans="1:22" ht="15" customHeight="1">
      <c r="A23" s="53"/>
      <c r="B23" s="54"/>
      <c r="C23" s="55"/>
      <c r="D23" s="54"/>
      <c r="E23" s="55"/>
      <c r="F23" s="55"/>
      <c r="G23" s="54"/>
      <c r="H23" s="55"/>
      <c r="O23" s="37">
        <v>29</v>
      </c>
      <c r="P23" s="38">
        <f t="shared" si="0"/>
        <v>7312.5</v>
      </c>
      <c r="Q23" s="39"/>
      <c r="R23" s="37">
        <v>29</v>
      </c>
      <c r="S23" s="37">
        <f t="shared" si="1"/>
        <v>7312.5</v>
      </c>
      <c r="V23" s="40">
        <v>7500</v>
      </c>
    </row>
    <row r="24" spans="1:22" ht="14.25" customHeight="1">
      <c r="A24" s="53"/>
      <c r="B24" s="54"/>
      <c r="C24" s="55"/>
      <c r="D24" s="54"/>
      <c r="E24" s="55"/>
      <c r="F24" s="55"/>
      <c r="G24" s="54"/>
      <c r="H24" s="55"/>
      <c r="O24" s="39">
        <v>30</v>
      </c>
      <c r="P24" s="38">
        <f t="shared" si="0"/>
        <v>7020</v>
      </c>
      <c r="Q24" s="37"/>
      <c r="R24" s="37">
        <v>30</v>
      </c>
      <c r="S24" s="37">
        <f t="shared" si="1"/>
        <v>7020</v>
      </c>
      <c r="V24" s="40">
        <v>7200</v>
      </c>
    </row>
    <row r="25" spans="1:22" ht="14.25" customHeight="1">
      <c r="A25" s="589" t="s">
        <v>161</v>
      </c>
      <c r="B25" s="405"/>
      <c r="C25" s="582" t="s">
        <v>222</v>
      </c>
      <c r="D25" s="533"/>
      <c r="E25" s="589" t="s">
        <v>163</v>
      </c>
      <c r="F25" s="531"/>
      <c r="G25" s="531"/>
      <c r="H25" s="405"/>
      <c r="I25" s="582" t="s">
        <v>223</v>
      </c>
      <c r="J25" s="521"/>
      <c r="K25" s="533"/>
      <c r="L25" s="56"/>
      <c r="M25" s="56"/>
      <c r="O25" s="39">
        <v>31</v>
      </c>
      <c r="P25" s="38">
        <f t="shared" si="0"/>
        <v>6727.5</v>
      </c>
      <c r="Q25" s="37"/>
      <c r="R25" s="37">
        <v>31</v>
      </c>
      <c r="S25" s="37">
        <f t="shared" si="1"/>
        <v>6727.5</v>
      </c>
      <c r="V25" s="40">
        <v>6900</v>
      </c>
    </row>
    <row r="26" spans="1:22" ht="12.75" customHeight="1">
      <c r="A26" s="57" t="s">
        <v>165</v>
      </c>
      <c r="B26" s="57" t="s">
        <v>166</v>
      </c>
      <c r="C26" s="483"/>
      <c r="D26" s="534"/>
      <c r="E26" s="589" t="s">
        <v>165</v>
      </c>
      <c r="F26" s="405"/>
      <c r="G26" s="589" t="s">
        <v>166</v>
      </c>
      <c r="H26" s="405"/>
      <c r="I26" s="483"/>
      <c r="J26" s="525"/>
      <c r="K26" s="534"/>
      <c r="L26" s="56"/>
      <c r="M26" s="56"/>
      <c r="N26" s="56"/>
      <c r="O26" s="37">
        <v>32</v>
      </c>
      <c r="P26" s="38">
        <f t="shared" si="0"/>
        <v>6435</v>
      </c>
      <c r="Q26" s="39"/>
      <c r="R26" s="37">
        <v>32</v>
      </c>
      <c r="S26" s="37">
        <f t="shared" si="1"/>
        <v>6435</v>
      </c>
      <c r="V26" s="40">
        <v>6600</v>
      </c>
    </row>
    <row r="27" spans="1:22" ht="13.8">
      <c r="A27" s="83" t="e">
        <f>#REF!</f>
        <v>#REF!</v>
      </c>
      <c r="B27" s="84" t="e">
        <f>#REF!</f>
        <v>#REF!</v>
      </c>
      <c r="C27" s="587" t="e">
        <f>#REF!</f>
        <v>#REF!</v>
      </c>
      <c r="D27" s="405"/>
      <c r="E27" s="588" t="e">
        <f>#REF!</f>
        <v>#REF!</v>
      </c>
      <c r="F27" s="405"/>
      <c r="G27" s="591" t="e">
        <f>#REF!</f>
        <v>#REF!</v>
      </c>
      <c r="H27" s="405"/>
      <c r="I27" s="590" t="e">
        <f>#REF!</f>
        <v>#REF!</v>
      </c>
      <c r="J27" s="531"/>
      <c r="K27" s="405"/>
      <c r="L27" s="58"/>
      <c r="M27" s="58"/>
      <c r="N27" s="56"/>
      <c r="O27" s="37">
        <v>33</v>
      </c>
      <c r="P27" s="38">
        <f t="shared" si="0"/>
        <v>6142.5</v>
      </c>
      <c r="Q27" s="39"/>
      <c r="R27" s="37">
        <v>33</v>
      </c>
      <c r="S27" s="37">
        <f t="shared" si="1"/>
        <v>6142.5</v>
      </c>
      <c r="V27" s="40">
        <v>6300</v>
      </c>
    </row>
    <row r="28" spans="1:22" ht="13.8">
      <c r="A28" s="59"/>
      <c r="B28" s="59"/>
      <c r="C28" s="59"/>
      <c r="D28" s="59"/>
      <c r="E28" s="59"/>
      <c r="F28" s="59"/>
      <c r="G28" s="59"/>
      <c r="H28" s="59"/>
      <c r="N28" s="58"/>
      <c r="O28" s="37">
        <v>34</v>
      </c>
      <c r="P28" s="38">
        <f t="shared" si="0"/>
        <v>5850</v>
      </c>
      <c r="Q28" s="39"/>
      <c r="R28" s="37">
        <v>34</v>
      </c>
      <c r="S28" s="37">
        <f t="shared" si="1"/>
        <v>5850</v>
      </c>
      <c r="V28" s="40">
        <v>6000</v>
      </c>
    </row>
    <row r="29" spans="1:22" ht="13.8">
      <c r="A29" s="59"/>
      <c r="B29" s="59"/>
      <c r="C29" s="59"/>
      <c r="D29" s="59"/>
      <c r="E29" s="59"/>
      <c r="F29" s="59"/>
      <c r="G29" s="59"/>
      <c r="H29" s="59"/>
      <c r="O29" s="37">
        <v>35</v>
      </c>
      <c r="P29" s="38">
        <f t="shared" si="0"/>
        <v>5655</v>
      </c>
      <c r="Q29" s="39"/>
      <c r="R29" s="37">
        <v>35</v>
      </c>
      <c r="S29" s="37">
        <f t="shared" si="1"/>
        <v>5655</v>
      </c>
      <c r="V29" s="40">
        <v>5800</v>
      </c>
    </row>
    <row r="30" spans="1:22" ht="13.8">
      <c r="A30" s="59"/>
      <c r="B30" s="59"/>
      <c r="C30" s="59"/>
      <c r="D30" s="59"/>
      <c r="E30" s="59"/>
      <c r="F30" s="59"/>
      <c r="G30" s="59"/>
      <c r="H30" s="59"/>
      <c r="O30" s="37">
        <v>36</v>
      </c>
      <c r="P30" s="38">
        <f t="shared" si="0"/>
        <v>5460</v>
      </c>
      <c r="Q30" s="39"/>
      <c r="R30" s="37">
        <v>36</v>
      </c>
      <c r="S30" s="37">
        <f t="shared" si="1"/>
        <v>5460</v>
      </c>
      <c r="V30" s="40">
        <v>5600</v>
      </c>
    </row>
    <row r="31" spans="1:22" ht="13.8">
      <c r="A31" s="59"/>
      <c r="B31" s="59"/>
      <c r="C31" s="59"/>
      <c r="D31" s="59"/>
      <c r="E31" s="59"/>
      <c r="F31" s="59"/>
      <c r="G31" s="59"/>
      <c r="H31" s="59"/>
      <c r="I31" s="60"/>
      <c r="O31" s="37">
        <v>37</v>
      </c>
      <c r="P31" s="38">
        <f t="shared" si="0"/>
        <v>5265</v>
      </c>
      <c r="Q31" s="39"/>
      <c r="R31" s="37">
        <v>37</v>
      </c>
      <c r="S31" s="37">
        <f t="shared" si="1"/>
        <v>5265</v>
      </c>
      <c r="V31" s="40">
        <v>5400</v>
      </c>
    </row>
    <row r="32" spans="1:22" ht="14.25" customHeight="1">
      <c r="A32" s="61"/>
      <c r="B32" s="62"/>
      <c r="C32" s="62"/>
      <c r="D32" s="62"/>
      <c r="E32" s="62"/>
      <c r="F32" s="62"/>
      <c r="G32" s="62"/>
      <c r="H32" s="62"/>
      <c r="O32" s="37">
        <v>38</v>
      </c>
      <c r="P32" s="38">
        <f t="shared" si="0"/>
        <v>5070</v>
      </c>
      <c r="Q32" s="39"/>
      <c r="R32" s="37">
        <v>38</v>
      </c>
      <c r="S32" s="37">
        <f t="shared" si="1"/>
        <v>5070</v>
      </c>
      <c r="V32" s="40">
        <v>5200</v>
      </c>
    </row>
    <row r="33" spans="1:24" ht="15" customHeight="1">
      <c r="A33" s="61"/>
      <c r="B33" s="62"/>
      <c r="C33" s="62"/>
      <c r="D33" s="62"/>
      <c r="E33" s="62"/>
      <c r="F33" s="62"/>
      <c r="G33" s="62"/>
      <c r="H33" s="62"/>
      <c r="O33" s="37">
        <v>39</v>
      </c>
      <c r="P33" s="38">
        <f t="shared" si="0"/>
        <v>4875</v>
      </c>
      <c r="Q33" s="39"/>
      <c r="R33" s="37">
        <v>39</v>
      </c>
      <c r="S33" s="37">
        <f t="shared" si="1"/>
        <v>4875</v>
      </c>
      <c r="T33" s="63"/>
      <c r="U33" s="63"/>
      <c r="V33" s="40">
        <v>5000</v>
      </c>
      <c r="W33" s="63"/>
    </row>
    <row r="34" spans="1:24" ht="12.75" customHeight="1">
      <c r="A34" s="59"/>
      <c r="B34" s="59"/>
      <c r="C34" s="59"/>
      <c r="D34" s="59"/>
      <c r="E34" s="59"/>
      <c r="F34" s="59"/>
      <c r="G34" s="59"/>
      <c r="H34" s="59"/>
      <c r="O34" s="37">
        <v>40</v>
      </c>
      <c r="P34" s="38">
        <f t="shared" si="0"/>
        <v>4680</v>
      </c>
      <c r="Q34" s="39"/>
      <c r="R34" s="37">
        <v>40</v>
      </c>
      <c r="S34" s="37">
        <f t="shared" si="1"/>
        <v>4680</v>
      </c>
      <c r="T34" s="64"/>
      <c r="U34" s="64"/>
      <c r="V34" s="40">
        <v>4800</v>
      </c>
      <c r="W34" s="64"/>
      <c r="X34" s="64"/>
    </row>
    <row r="35" spans="1:24" ht="13.5" customHeight="1">
      <c r="O35" s="37">
        <v>41</v>
      </c>
      <c r="P35" s="38">
        <f t="shared" si="0"/>
        <v>4485</v>
      </c>
      <c r="Q35" s="39"/>
      <c r="R35" s="37">
        <v>41</v>
      </c>
      <c r="S35" s="37">
        <f t="shared" si="1"/>
        <v>4485</v>
      </c>
      <c r="T35" s="65"/>
      <c r="U35" s="65"/>
      <c r="V35" s="40">
        <v>4600</v>
      </c>
      <c r="W35" s="65"/>
      <c r="X35" s="65"/>
    </row>
    <row r="36" spans="1:24" ht="13.5" customHeight="1">
      <c r="I36" s="66"/>
      <c r="O36" s="37">
        <v>42</v>
      </c>
      <c r="P36" s="38">
        <f t="shared" si="0"/>
        <v>4290</v>
      </c>
      <c r="Q36" s="39"/>
      <c r="R36" s="37">
        <v>42</v>
      </c>
      <c r="S36" s="37">
        <f t="shared" si="1"/>
        <v>4290</v>
      </c>
      <c r="V36" s="40">
        <v>4400</v>
      </c>
    </row>
    <row r="37" spans="1:24" ht="13.5" customHeight="1">
      <c r="I37" s="66"/>
      <c r="O37" s="37">
        <v>43</v>
      </c>
      <c r="P37" s="38">
        <f t="shared" si="0"/>
        <v>4095</v>
      </c>
      <c r="Q37" s="39"/>
      <c r="R37" s="37">
        <v>43</v>
      </c>
      <c r="S37" s="37">
        <f t="shared" si="1"/>
        <v>4095</v>
      </c>
      <c r="V37" s="40">
        <v>4200</v>
      </c>
    </row>
    <row r="38" spans="1:24" ht="13.5" customHeight="1">
      <c r="A38" s="67"/>
      <c r="B38" s="48"/>
      <c r="C38" s="48"/>
      <c r="D38" s="48"/>
      <c r="E38" s="48"/>
      <c r="F38" s="48"/>
      <c r="G38" s="48"/>
      <c r="H38" s="48"/>
      <c r="I38" s="68"/>
      <c r="J38" s="69"/>
      <c r="O38" s="37">
        <v>44</v>
      </c>
      <c r="P38" s="38">
        <f t="shared" si="0"/>
        <v>3900</v>
      </c>
      <c r="Q38" s="39"/>
      <c r="R38" s="37">
        <v>44</v>
      </c>
      <c r="S38" s="37">
        <f t="shared" si="1"/>
        <v>3900</v>
      </c>
      <c r="V38" s="40">
        <v>4000</v>
      </c>
    </row>
    <row r="39" spans="1:24" ht="13.5" customHeight="1">
      <c r="A39" s="48"/>
      <c r="B39" s="48"/>
      <c r="C39" s="48"/>
      <c r="D39" s="48"/>
      <c r="E39" s="48"/>
      <c r="F39" s="48"/>
      <c r="G39" s="48"/>
      <c r="H39" s="48"/>
      <c r="I39" s="68"/>
      <c r="J39" s="15"/>
      <c r="O39" s="37">
        <v>45</v>
      </c>
      <c r="P39" s="38">
        <f t="shared" si="0"/>
        <v>3705</v>
      </c>
      <c r="Q39" s="39"/>
      <c r="R39" s="37">
        <v>45</v>
      </c>
      <c r="S39" s="37">
        <f t="shared" si="1"/>
        <v>3705</v>
      </c>
      <c r="V39" s="40">
        <v>3800</v>
      </c>
    </row>
    <row r="40" spans="1:24" ht="13.5" customHeight="1">
      <c r="A40" s="581"/>
      <c r="B40" s="456"/>
      <c r="C40" s="48"/>
      <c r="D40" s="59"/>
      <c r="E40" s="59"/>
      <c r="F40" s="59"/>
      <c r="G40" s="59"/>
      <c r="H40" s="59"/>
      <c r="I40" s="68"/>
      <c r="O40" s="37">
        <v>46</v>
      </c>
      <c r="P40" s="38">
        <f t="shared" si="0"/>
        <v>3510</v>
      </c>
      <c r="Q40" s="39"/>
      <c r="R40" s="37">
        <v>46</v>
      </c>
      <c r="S40" s="37">
        <f t="shared" si="1"/>
        <v>3510</v>
      </c>
      <c r="V40" s="40">
        <v>3600</v>
      </c>
    </row>
    <row r="41" spans="1:24" ht="13.5" customHeight="1">
      <c r="A41" s="70"/>
      <c r="B41" s="70"/>
      <c r="C41" s="70"/>
      <c r="D41" s="70"/>
      <c r="E41" s="70"/>
      <c r="F41" s="70"/>
      <c r="G41" s="70"/>
      <c r="H41" s="70"/>
      <c r="I41" s="68"/>
      <c r="O41" s="37">
        <v>47</v>
      </c>
      <c r="P41" s="38">
        <f t="shared" si="0"/>
        <v>3315</v>
      </c>
      <c r="Q41" s="39"/>
      <c r="R41" s="37">
        <v>47</v>
      </c>
      <c r="S41" s="37">
        <f t="shared" si="1"/>
        <v>3315</v>
      </c>
      <c r="U41" s="71"/>
      <c r="V41" s="40">
        <v>3400</v>
      </c>
    </row>
    <row r="42" spans="1:24" ht="13.5" customHeight="1">
      <c r="A42" s="70"/>
      <c r="B42" s="70"/>
      <c r="C42" s="70"/>
      <c r="D42" s="70"/>
      <c r="E42" s="70"/>
      <c r="F42" s="70"/>
      <c r="G42" s="70"/>
      <c r="H42" s="70"/>
      <c r="I42" s="68"/>
      <c r="J42" s="72"/>
      <c r="O42" s="37">
        <v>48</v>
      </c>
      <c r="P42" s="38">
        <f t="shared" si="0"/>
        <v>3120</v>
      </c>
      <c r="Q42" s="39"/>
      <c r="R42" s="37">
        <v>48</v>
      </c>
      <c r="S42" s="37">
        <f t="shared" si="1"/>
        <v>3120</v>
      </c>
      <c r="U42" s="71"/>
      <c r="V42" s="40">
        <v>3200</v>
      </c>
    </row>
    <row r="43" spans="1:24" ht="13.5" customHeight="1">
      <c r="A43" s="70"/>
      <c r="B43" s="70"/>
      <c r="C43" s="70"/>
      <c r="D43" s="70"/>
      <c r="E43" s="70"/>
      <c r="F43" s="70"/>
      <c r="G43" s="70"/>
      <c r="H43" s="70"/>
      <c r="I43" s="68"/>
      <c r="O43" s="37">
        <v>49</v>
      </c>
      <c r="P43" s="38">
        <f t="shared" si="0"/>
        <v>2925</v>
      </c>
      <c r="Q43" s="39"/>
      <c r="R43" s="37">
        <v>49</v>
      </c>
      <c r="S43" s="37">
        <f t="shared" si="1"/>
        <v>2925</v>
      </c>
      <c r="V43" s="40">
        <v>3000</v>
      </c>
    </row>
    <row r="44" spans="1:24" ht="13.5" customHeight="1">
      <c r="A44" s="48"/>
      <c r="B44" s="48"/>
      <c r="C44" s="48"/>
      <c r="D44" s="59"/>
      <c r="E44" s="59"/>
      <c r="F44" s="59"/>
      <c r="G44" s="59"/>
      <c r="H44" s="59"/>
      <c r="I44" s="66"/>
      <c r="O44" s="37">
        <v>50</v>
      </c>
      <c r="P44" s="38">
        <f t="shared" si="0"/>
        <v>2632.5</v>
      </c>
      <c r="Q44" s="39"/>
      <c r="R44" s="37">
        <v>50</v>
      </c>
      <c r="S44" s="37">
        <f t="shared" si="1"/>
        <v>2632.5</v>
      </c>
      <c r="V44" s="40">
        <v>2700</v>
      </c>
    </row>
    <row r="45" spans="1:24" ht="13.5" customHeight="1">
      <c r="A45" s="73"/>
      <c r="B45" s="73"/>
      <c r="C45" s="73"/>
      <c r="D45" s="73"/>
      <c r="E45" s="59"/>
      <c r="F45" s="59"/>
      <c r="G45" s="59"/>
      <c r="H45" s="59"/>
      <c r="I45" s="66"/>
      <c r="O45" s="37">
        <v>51</v>
      </c>
      <c r="P45" s="38">
        <f t="shared" si="0"/>
        <v>2340</v>
      </c>
      <c r="Q45" s="39"/>
      <c r="R45" s="37">
        <v>51</v>
      </c>
      <c r="S45" s="37">
        <f t="shared" si="1"/>
        <v>2340</v>
      </c>
      <c r="V45" s="40">
        <v>2400</v>
      </c>
    </row>
    <row r="46" spans="1:24" ht="13.5" customHeight="1">
      <c r="A46" s="50"/>
      <c r="B46" s="50"/>
      <c r="C46" s="50"/>
      <c r="D46" s="50"/>
      <c r="E46" s="50"/>
      <c r="F46" s="50"/>
      <c r="G46" s="50"/>
      <c r="H46" s="50"/>
      <c r="I46" s="66"/>
      <c r="O46" s="37">
        <v>52</v>
      </c>
      <c r="P46" s="38">
        <f t="shared" si="0"/>
        <v>2047.5</v>
      </c>
      <c r="Q46" s="39"/>
      <c r="R46" s="37">
        <v>52</v>
      </c>
      <c r="S46" s="37">
        <f t="shared" si="1"/>
        <v>2047.5</v>
      </c>
      <c r="V46" s="40">
        <v>2100</v>
      </c>
    </row>
    <row r="47" spans="1:24" ht="13.5" customHeight="1">
      <c r="A47" s="74"/>
      <c r="B47" s="74"/>
      <c r="C47" s="74"/>
      <c r="D47" s="74"/>
      <c r="E47" s="74"/>
      <c r="F47" s="74"/>
      <c r="G47" s="74"/>
      <c r="H47" s="74"/>
      <c r="I47" s="66"/>
      <c r="O47" s="37">
        <v>53</v>
      </c>
      <c r="P47" s="38">
        <f t="shared" si="0"/>
        <v>1755</v>
      </c>
      <c r="Q47" s="39"/>
      <c r="R47" s="37">
        <v>53</v>
      </c>
      <c r="S47" s="37">
        <f t="shared" si="1"/>
        <v>1755</v>
      </c>
      <c r="V47" s="40">
        <v>1800</v>
      </c>
    </row>
    <row r="48" spans="1:24" ht="13.5" customHeight="1">
      <c r="A48" s="73"/>
      <c r="B48" s="73"/>
      <c r="C48" s="75"/>
      <c r="D48" s="75"/>
      <c r="E48" s="75"/>
      <c r="F48" s="75"/>
      <c r="G48" s="74"/>
      <c r="H48" s="74"/>
      <c r="I48" s="66"/>
      <c r="O48" s="37"/>
    </row>
    <row r="49" spans="1:15" ht="13.5" customHeight="1">
      <c r="A49" s="50"/>
      <c r="B49" s="50"/>
      <c r="C49" s="50"/>
      <c r="D49" s="50"/>
      <c r="E49" s="50"/>
      <c r="F49" s="50"/>
      <c r="G49" s="74"/>
      <c r="H49" s="74"/>
      <c r="I49" s="66"/>
      <c r="O49" s="37"/>
    </row>
    <row r="50" spans="1:15" ht="13.5" customHeight="1">
      <c r="A50" s="50"/>
      <c r="B50" s="50"/>
      <c r="C50" s="50"/>
      <c r="D50" s="50"/>
      <c r="E50" s="50"/>
      <c r="F50" s="50"/>
      <c r="G50" s="50"/>
      <c r="H50" s="50"/>
      <c r="I50" s="66"/>
    </row>
    <row r="51" spans="1:15" ht="13.5" customHeight="1">
      <c r="A51" s="76"/>
      <c r="B51" s="48"/>
      <c r="C51" s="48"/>
      <c r="D51" s="48"/>
      <c r="E51" s="59"/>
      <c r="F51" s="59"/>
      <c r="G51" s="59"/>
      <c r="H51" s="59"/>
      <c r="I51" s="66"/>
    </row>
    <row r="52" spans="1:15" ht="13.5" customHeight="1">
      <c r="A52" s="76"/>
      <c r="B52" s="48"/>
      <c r="C52" s="48"/>
      <c r="D52" s="48"/>
      <c r="E52" s="48"/>
      <c r="F52" s="48"/>
      <c r="G52" s="48"/>
      <c r="H52" s="48"/>
    </row>
    <row r="53" spans="1:15" ht="13.5" customHeight="1">
      <c r="A53" s="48"/>
      <c r="B53" s="48"/>
      <c r="C53" s="48"/>
      <c r="D53" s="48"/>
      <c r="E53" s="48"/>
      <c r="F53" s="48"/>
      <c r="G53" s="48"/>
      <c r="H53" s="48"/>
    </row>
    <row r="54" spans="1:15" ht="13.5" customHeight="1">
      <c r="A54" s="76"/>
      <c r="B54" s="48"/>
      <c r="C54" s="48"/>
      <c r="D54" s="48"/>
      <c r="E54" s="48"/>
      <c r="F54" s="48"/>
      <c r="G54" s="48"/>
      <c r="H54" s="48"/>
    </row>
    <row r="55" spans="1:15" ht="13.5" customHeight="1">
      <c r="A55" s="585"/>
      <c r="B55" s="456"/>
      <c r="C55" s="456"/>
      <c r="D55" s="456"/>
      <c r="E55" s="456"/>
      <c r="F55" s="456"/>
      <c r="G55" s="456"/>
      <c r="H55" s="456"/>
    </row>
    <row r="56" spans="1:15" ht="13.5" customHeight="1">
      <c r="A56" s="76"/>
      <c r="B56" s="48"/>
      <c r="C56" s="48"/>
      <c r="D56" s="48"/>
      <c r="E56" s="48"/>
      <c r="F56" s="48"/>
      <c r="G56" s="48"/>
      <c r="H56" s="48"/>
    </row>
    <row r="57" spans="1:15" ht="13.5" customHeight="1">
      <c r="A57" s="586"/>
      <c r="B57" s="456"/>
      <c r="C57" s="456"/>
      <c r="D57" s="456"/>
      <c r="E57" s="456"/>
      <c r="F57" s="456"/>
      <c r="G57" s="456"/>
      <c r="H57" s="456"/>
    </row>
    <row r="58" spans="1:15" ht="13.5" customHeight="1">
      <c r="B58" s="77"/>
      <c r="C58" s="77"/>
      <c r="D58" s="77"/>
    </row>
    <row r="59" spans="1:15" ht="13.5" customHeight="1"/>
    <row r="60" spans="1:15" ht="13.5" customHeight="1"/>
    <row r="61" spans="1:15" ht="13.5" customHeight="1"/>
    <row r="62" spans="1:15" ht="13.35" customHeight="1"/>
    <row r="63" spans="1:15">
      <c r="A63" s="78"/>
      <c r="H63" s="62"/>
      <c r="I63" s="79"/>
    </row>
    <row r="64" spans="1:15">
      <c r="A64" s="77"/>
      <c r="B64" s="80"/>
      <c r="C64" s="80"/>
      <c r="D64" s="81"/>
      <c r="H64" s="80"/>
      <c r="I64" s="82"/>
    </row>
  </sheetData>
  <sheetProtection sheet="1" objects="1" scenarios="1"/>
  <mergeCells count="21">
    <mergeCell ref="A55:H55"/>
    <mergeCell ref="A57:H57"/>
    <mergeCell ref="C27:D27"/>
    <mergeCell ref="E27:F27"/>
    <mergeCell ref="I25:K26"/>
    <mergeCell ref="E26:F26"/>
    <mergeCell ref="G26:H26"/>
    <mergeCell ref="I27:K27"/>
    <mergeCell ref="G27:H27"/>
    <mergeCell ref="E25:H25"/>
    <mergeCell ref="A25:B25"/>
    <mergeCell ref="A1:F1"/>
    <mergeCell ref="D5:H5"/>
    <mergeCell ref="A40:B40"/>
    <mergeCell ref="C25:D26"/>
    <mergeCell ref="L4:N6"/>
    <mergeCell ref="A4:F4"/>
    <mergeCell ref="A3:F3"/>
    <mergeCell ref="A6:B6"/>
    <mergeCell ref="A2:F2"/>
    <mergeCell ref="D6:H6"/>
  </mergeCells>
  <printOptions horizontalCentered="1"/>
  <pageMargins left="0.59055118110236215" right="0.59055118110236215" top="0.19685039370078741" bottom="0.19685039370078741" header="0.19685039370078741" footer="0.19685039370078741"/>
  <pageSetup paperSize="9" scale="95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List20">
    <tabColor theme="7" tint="0.59999389629810485"/>
  </sheetPr>
  <dimension ref="A1:X64"/>
  <sheetViews>
    <sheetView workbookViewId="0">
      <selection sqref="A1:F1"/>
    </sheetView>
  </sheetViews>
  <sheetFormatPr defaultRowHeight="13.2"/>
  <cols>
    <col min="1" max="4" width="10.6640625" customWidth="1"/>
    <col min="5" max="8" width="5.6640625" customWidth="1"/>
    <col min="9" max="9" width="7.6640625" customWidth="1"/>
    <col min="10" max="14" width="5.6640625" customWidth="1"/>
    <col min="15" max="15" width="9.109375" customWidth="1"/>
    <col min="16" max="16" width="8.88671875" style="71" customWidth="1"/>
    <col min="18" max="18" width="9.109375" customWidth="1"/>
    <col min="22" max="22" width="8.88671875" style="40" customWidth="1"/>
  </cols>
  <sheetData>
    <row r="1" spans="1:22" ht="13.5" customHeight="1">
      <c r="A1" s="579" t="s">
        <v>240</v>
      </c>
      <c r="B1" s="456"/>
      <c r="C1" s="456"/>
      <c r="D1" s="456"/>
      <c r="E1" s="456"/>
      <c r="F1" s="456"/>
      <c r="G1" s="35"/>
      <c r="H1" s="35"/>
      <c r="L1" s="36"/>
      <c r="M1" s="36"/>
      <c r="N1" s="36"/>
      <c r="O1" s="37">
        <v>7</v>
      </c>
      <c r="P1" s="38">
        <f t="shared" ref="P1:P47" si="0">((V1/100)*$I$6)+V1</f>
        <v>26910</v>
      </c>
      <c r="Q1" s="39"/>
      <c r="R1" s="37">
        <v>7</v>
      </c>
      <c r="S1" s="37">
        <f t="shared" ref="S1:S47" si="1">((V1/100)*$I$6)+V1</f>
        <v>26910</v>
      </c>
      <c r="V1" s="40">
        <v>27600</v>
      </c>
    </row>
    <row r="2" spans="1:22" ht="13.5" customHeight="1">
      <c r="A2" s="592" t="s">
        <v>241</v>
      </c>
      <c r="B2" s="456"/>
      <c r="C2" s="456"/>
      <c r="D2" s="456"/>
      <c r="E2" s="456"/>
      <c r="F2" s="456"/>
      <c r="G2" s="35"/>
      <c r="H2" s="35"/>
      <c r="L2" s="36"/>
      <c r="M2" s="36"/>
      <c r="N2" s="36"/>
      <c r="O2" s="37">
        <v>8</v>
      </c>
      <c r="P2" s="38">
        <f t="shared" si="0"/>
        <v>23692.5</v>
      </c>
      <c r="Q2" s="39"/>
      <c r="R2" s="37">
        <v>8</v>
      </c>
      <c r="S2" s="37">
        <f t="shared" si="1"/>
        <v>23692.5</v>
      </c>
      <c r="V2" s="40">
        <v>24300</v>
      </c>
    </row>
    <row r="3" spans="1:22" ht="13.5" customHeight="1">
      <c r="A3" s="592" t="s">
        <v>242</v>
      </c>
      <c r="B3" s="456"/>
      <c r="C3" s="456"/>
      <c r="D3" s="456"/>
      <c r="E3" s="456"/>
      <c r="F3" s="456"/>
      <c r="G3" s="35"/>
      <c r="H3" s="35"/>
      <c r="L3" s="36"/>
      <c r="M3" s="36"/>
      <c r="N3" s="36"/>
      <c r="O3" s="37">
        <v>9</v>
      </c>
      <c r="P3" s="38">
        <f t="shared" si="0"/>
        <v>21255</v>
      </c>
      <c r="Q3" s="39"/>
      <c r="R3" s="37">
        <v>9</v>
      </c>
      <c r="S3" s="37">
        <f t="shared" si="1"/>
        <v>21255</v>
      </c>
      <c r="V3" s="40">
        <v>21800</v>
      </c>
    </row>
    <row r="4" spans="1:22" ht="13.5" customHeight="1">
      <c r="A4" s="584" t="s">
        <v>243</v>
      </c>
      <c r="B4" s="525"/>
      <c r="C4" s="525"/>
      <c r="D4" s="525"/>
      <c r="E4" s="525"/>
      <c r="F4" s="525"/>
      <c r="G4" s="41"/>
      <c r="H4" s="41"/>
      <c r="I4" s="42"/>
      <c r="J4" s="42"/>
      <c r="L4" s="583" t="s">
        <v>244</v>
      </c>
      <c r="M4" s="456"/>
      <c r="N4" s="456"/>
      <c r="O4" s="37">
        <v>10</v>
      </c>
      <c r="P4" s="38">
        <f t="shared" si="0"/>
        <v>19305</v>
      </c>
      <c r="Q4" s="39"/>
      <c r="R4" s="37">
        <v>10</v>
      </c>
      <c r="S4" s="37">
        <f t="shared" si="1"/>
        <v>19305</v>
      </c>
      <c r="V4" s="40">
        <v>19800</v>
      </c>
    </row>
    <row r="5" spans="1:22" ht="13.95" customHeight="1">
      <c r="D5" s="580" t="s">
        <v>245</v>
      </c>
      <c r="E5" s="531"/>
      <c r="F5" s="531"/>
      <c r="G5" s="531"/>
      <c r="H5" s="531"/>
      <c r="I5" s="43">
        <f>'Časový snímek'!N6/60</f>
        <v>7.5</v>
      </c>
      <c r="J5" s="44" t="s">
        <v>157</v>
      </c>
      <c r="L5" s="456"/>
      <c r="M5" s="456"/>
      <c r="N5" s="456"/>
      <c r="O5" s="37">
        <v>11</v>
      </c>
      <c r="P5" s="38">
        <f t="shared" si="0"/>
        <v>17647.5</v>
      </c>
      <c r="Q5" s="39"/>
      <c r="R5" s="37">
        <v>11</v>
      </c>
      <c r="S5" s="37">
        <f t="shared" si="1"/>
        <v>17647.5</v>
      </c>
      <c r="V5" s="40">
        <v>18100</v>
      </c>
    </row>
    <row r="6" spans="1:22" ht="15" customHeight="1">
      <c r="A6" s="593" t="s">
        <v>246</v>
      </c>
      <c r="B6" s="456"/>
      <c r="C6" s="45"/>
      <c r="D6" s="580" t="s">
        <v>247</v>
      </c>
      <c r="E6" s="531"/>
      <c r="F6" s="531"/>
      <c r="G6" s="531"/>
      <c r="H6" s="531"/>
      <c r="I6" s="46">
        <f>(I5-8)*5</f>
        <v>-2.5</v>
      </c>
      <c r="J6" s="47" t="s">
        <v>159</v>
      </c>
      <c r="L6" s="456"/>
      <c r="M6" s="456"/>
      <c r="N6" s="456"/>
      <c r="O6" s="37">
        <v>12</v>
      </c>
      <c r="P6" s="38">
        <f t="shared" si="0"/>
        <v>16282.5</v>
      </c>
      <c r="Q6" s="39"/>
      <c r="R6" s="37">
        <v>12</v>
      </c>
      <c r="S6" s="37">
        <f t="shared" si="1"/>
        <v>16282.5</v>
      </c>
      <c r="V6" s="40">
        <v>16700</v>
      </c>
    </row>
    <row r="7" spans="1:22" ht="13.5" customHeight="1">
      <c r="O7" s="37">
        <v>13</v>
      </c>
      <c r="P7" s="38">
        <f t="shared" si="0"/>
        <v>15112.5</v>
      </c>
      <c r="Q7" s="39"/>
      <c r="R7" s="37">
        <v>13</v>
      </c>
      <c r="S7" s="37">
        <f t="shared" si="1"/>
        <v>15112.5</v>
      </c>
      <c r="V7" s="40">
        <v>15500</v>
      </c>
    </row>
    <row r="8" spans="1:22">
      <c r="O8" s="37">
        <v>14</v>
      </c>
      <c r="P8" s="38">
        <f t="shared" si="0"/>
        <v>14040</v>
      </c>
      <c r="Q8" s="39"/>
      <c r="R8" s="37">
        <v>14</v>
      </c>
      <c r="S8" s="37">
        <f t="shared" si="1"/>
        <v>14040</v>
      </c>
      <c r="V8" s="40">
        <v>14400</v>
      </c>
    </row>
    <row r="9" spans="1:22" ht="12.75" customHeight="1">
      <c r="A9" s="48"/>
      <c r="B9" s="48"/>
      <c r="C9" s="48"/>
      <c r="D9" s="48"/>
      <c r="E9" s="48"/>
      <c r="F9" s="48"/>
      <c r="G9" s="48"/>
      <c r="H9" s="48"/>
      <c r="O9" s="37">
        <v>15</v>
      </c>
      <c r="P9" s="38">
        <f t="shared" si="0"/>
        <v>13162.5</v>
      </c>
      <c r="Q9" s="39"/>
      <c r="R9" s="37">
        <v>15</v>
      </c>
      <c r="S9" s="37">
        <f t="shared" si="1"/>
        <v>13162.5</v>
      </c>
      <c r="V9" s="40">
        <v>13500</v>
      </c>
    </row>
    <row r="10" spans="1:22" ht="13.8">
      <c r="A10" s="49"/>
      <c r="B10" s="50"/>
      <c r="C10" s="48"/>
      <c r="D10" s="48"/>
      <c r="E10" s="50"/>
      <c r="F10" s="50"/>
      <c r="G10" s="51"/>
      <c r="H10" s="48"/>
      <c r="O10" s="37">
        <v>16</v>
      </c>
      <c r="P10" s="38">
        <f t="shared" si="0"/>
        <v>12382.5</v>
      </c>
      <c r="Q10" s="39"/>
      <c r="R10" s="37">
        <v>16</v>
      </c>
      <c r="S10" s="37">
        <f t="shared" si="1"/>
        <v>12382.5</v>
      </c>
      <c r="V10" s="40">
        <v>12700</v>
      </c>
    </row>
    <row r="11" spans="1:22" ht="12.75" customHeight="1">
      <c r="A11" s="49"/>
      <c r="B11" s="50"/>
      <c r="C11" s="48"/>
      <c r="D11" s="48"/>
      <c r="E11" s="50"/>
      <c r="F11" s="50"/>
      <c r="G11" s="51"/>
      <c r="H11" s="48"/>
      <c r="I11" s="100"/>
      <c r="J11" s="100"/>
      <c r="O11" s="37">
        <v>17</v>
      </c>
      <c r="P11" s="38">
        <f t="shared" si="0"/>
        <v>11700</v>
      </c>
      <c r="Q11" s="39"/>
      <c r="R11" s="37">
        <v>17</v>
      </c>
      <c r="S11" s="37">
        <f t="shared" si="1"/>
        <v>11700</v>
      </c>
      <c r="V11" s="40">
        <v>12000</v>
      </c>
    </row>
    <row r="12" spans="1:22" ht="13.5" customHeight="1">
      <c r="A12" s="48"/>
      <c r="B12" s="48"/>
      <c r="C12" s="48"/>
      <c r="D12" s="102"/>
      <c r="E12" s="50"/>
      <c r="F12" s="50"/>
      <c r="G12" s="50"/>
      <c r="H12" s="48"/>
      <c r="K12" s="101"/>
      <c r="O12" s="37">
        <v>18</v>
      </c>
      <c r="P12" s="38">
        <f t="shared" si="0"/>
        <v>11115</v>
      </c>
      <c r="Q12" s="39"/>
      <c r="R12" s="37">
        <v>18</v>
      </c>
      <c r="S12" s="37">
        <f t="shared" si="1"/>
        <v>11115</v>
      </c>
      <c r="V12" s="40">
        <v>11400</v>
      </c>
    </row>
    <row r="13" spans="1:22" ht="13.8">
      <c r="A13" s="48"/>
      <c r="B13" s="48"/>
      <c r="C13" s="48"/>
      <c r="D13" s="102"/>
      <c r="E13" s="48"/>
      <c r="F13" s="48"/>
      <c r="G13" s="48"/>
      <c r="H13" s="48"/>
      <c r="K13" s="101"/>
      <c r="O13" s="37">
        <v>19</v>
      </c>
      <c r="P13" s="38">
        <f t="shared" si="0"/>
        <v>10627.5</v>
      </c>
      <c r="Q13" s="39"/>
      <c r="R13" s="37">
        <v>19</v>
      </c>
      <c r="S13" s="37">
        <f t="shared" si="1"/>
        <v>10627.5</v>
      </c>
      <c r="V13" s="40">
        <v>10900</v>
      </c>
    </row>
    <row r="14" spans="1:22" ht="13.8">
      <c r="A14" s="48"/>
      <c r="B14" s="48"/>
      <c r="C14" s="48"/>
      <c r="D14" s="102"/>
      <c r="E14" s="48"/>
      <c r="F14" s="48"/>
      <c r="G14" s="48"/>
      <c r="H14" s="48"/>
      <c r="K14" s="101"/>
      <c r="O14" s="37">
        <v>20</v>
      </c>
      <c r="P14" s="38">
        <f t="shared" si="0"/>
        <v>10140</v>
      </c>
      <c r="Q14" s="39"/>
      <c r="R14" s="37">
        <v>20</v>
      </c>
      <c r="S14" s="37">
        <f t="shared" si="1"/>
        <v>10140</v>
      </c>
      <c r="V14" s="40">
        <v>10400</v>
      </c>
    </row>
    <row r="15" spans="1:22" ht="12.75" customHeight="1">
      <c r="A15" s="48"/>
      <c r="B15" s="48"/>
      <c r="C15" s="48"/>
      <c r="D15" s="102"/>
      <c r="E15" s="48"/>
      <c r="F15" s="48"/>
      <c r="G15" s="48"/>
      <c r="H15" s="48"/>
      <c r="J15" t="s">
        <v>248</v>
      </c>
      <c r="K15" s="101"/>
      <c r="O15" s="37">
        <v>21</v>
      </c>
      <c r="P15" s="38">
        <f t="shared" si="0"/>
        <v>9750</v>
      </c>
      <c r="Q15" s="39"/>
      <c r="R15" s="37">
        <v>21</v>
      </c>
      <c r="S15" s="37">
        <f t="shared" si="1"/>
        <v>9750</v>
      </c>
      <c r="V15" s="40">
        <v>10000</v>
      </c>
    </row>
    <row r="16" spans="1:22" ht="12.75" customHeight="1">
      <c r="A16" s="48"/>
      <c r="B16" s="99"/>
      <c r="C16" s="52"/>
      <c r="D16" s="103"/>
      <c r="E16" s="52"/>
      <c r="F16" s="99"/>
      <c r="G16" s="52"/>
      <c r="H16" s="48"/>
      <c r="K16" s="101"/>
      <c r="O16" s="37">
        <v>22</v>
      </c>
      <c r="P16" s="38">
        <f t="shared" si="0"/>
        <v>9360</v>
      </c>
      <c r="Q16" s="39"/>
      <c r="R16" s="37">
        <v>22</v>
      </c>
      <c r="S16" s="37">
        <f t="shared" si="1"/>
        <v>9360</v>
      </c>
      <c r="V16" s="40">
        <v>9600</v>
      </c>
    </row>
    <row r="17" spans="1:22" ht="12.75" customHeight="1">
      <c r="A17" s="53"/>
      <c r="B17" s="54"/>
      <c r="C17" s="55"/>
      <c r="D17" s="104"/>
      <c r="E17" s="55"/>
      <c r="F17" s="54"/>
      <c r="G17" s="55"/>
      <c r="H17" s="48"/>
      <c r="K17" s="101"/>
      <c r="O17" s="37">
        <v>23</v>
      </c>
      <c r="P17" s="38">
        <f t="shared" si="0"/>
        <v>9067.5</v>
      </c>
      <c r="Q17" s="39"/>
      <c r="R17" s="37">
        <v>23</v>
      </c>
      <c r="S17" s="37">
        <f t="shared" si="1"/>
        <v>9067.5</v>
      </c>
      <c r="V17" s="40">
        <v>9300</v>
      </c>
    </row>
    <row r="18" spans="1:22" ht="12.75" customHeight="1">
      <c r="A18" s="53"/>
      <c r="B18" s="54"/>
      <c r="C18" s="55"/>
      <c r="D18" s="104"/>
      <c r="E18" s="55"/>
      <c r="F18" s="54"/>
      <c r="G18" s="55"/>
      <c r="H18" s="48"/>
      <c r="K18" s="101"/>
      <c r="O18" s="37">
        <v>24</v>
      </c>
      <c r="P18" s="38">
        <f t="shared" si="0"/>
        <v>8775</v>
      </c>
      <c r="Q18" s="39"/>
      <c r="R18" s="37">
        <v>24</v>
      </c>
      <c r="S18" s="37">
        <f t="shared" si="1"/>
        <v>8775</v>
      </c>
      <c r="V18" s="40">
        <v>9000</v>
      </c>
    </row>
    <row r="19" spans="1:22" ht="12.75" customHeight="1">
      <c r="A19" s="53"/>
      <c r="B19" s="54"/>
      <c r="C19" s="55"/>
      <c r="D19" s="104"/>
      <c r="E19" s="55"/>
      <c r="F19" s="54"/>
      <c r="G19" s="55"/>
      <c r="H19" s="48"/>
      <c r="K19" s="101"/>
      <c r="O19" s="37">
        <v>25</v>
      </c>
      <c r="P19" s="38">
        <f t="shared" si="0"/>
        <v>8482.5</v>
      </c>
      <c r="Q19" s="39"/>
      <c r="R19" s="37">
        <v>25</v>
      </c>
      <c r="S19" s="37">
        <f t="shared" si="1"/>
        <v>8482.5</v>
      </c>
      <c r="V19" s="40">
        <v>8700</v>
      </c>
    </row>
    <row r="20" spans="1:22" ht="12.75" customHeight="1">
      <c r="A20" s="53"/>
      <c r="B20" s="54"/>
      <c r="C20" s="55"/>
      <c r="D20" s="104"/>
      <c r="E20" s="55"/>
      <c r="F20" s="54"/>
      <c r="G20" s="55"/>
      <c r="H20" s="48"/>
      <c r="K20" s="101"/>
      <c r="O20" s="37">
        <v>26</v>
      </c>
      <c r="P20" s="38">
        <f t="shared" si="0"/>
        <v>8190</v>
      </c>
      <c r="Q20" s="39"/>
      <c r="R20" s="37">
        <v>26</v>
      </c>
      <c r="S20" s="37">
        <f t="shared" si="1"/>
        <v>8190</v>
      </c>
      <c r="V20" s="40">
        <v>8400</v>
      </c>
    </row>
    <row r="21" spans="1:22" ht="12.75" customHeight="1">
      <c r="A21" s="53"/>
      <c r="B21" s="54"/>
      <c r="C21" s="55"/>
      <c r="D21" s="104"/>
      <c r="E21" s="55"/>
      <c r="F21" s="55"/>
      <c r="G21" s="54"/>
      <c r="H21" s="55"/>
      <c r="K21" s="101"/>
      <c r="O21" s="37">
        <v>27</v>
      </c>
      <c r="P21" s="38">
        <f t="shared" si="0"/>
        <v>7897.5</v>
      </c>
      <c r="Q21" s="39"/>
      <c r="R21" s="37">
        <v>27</v>
      </c>
      <c r="S21" s="37">
        <f t="shared" si="1"/>
        <v>7897.5</v>
      </c>
      <c r="V21" s="40">
        <v>8100</v>
      </c>
    </row>
    <row r="22" spans="1:22" ht="14.25" customHeight="1">
      <c r="A22" s="53"/>
      <c r="B22" s="54"/>
      <c r="C22" s="55"/>
      <c r="D22" s="54"/>
      <c r="E22" s="55"/>
      <c r="F22" s="55"/>
      <c r="G22" s="54"/>
      <c r="H22" s="55"/>
      <c r="O22" s="37">
        <v>28</v>
      </c>
      <c r="P22" s="38">
        <f t="shared" si="0"/>
        <v>7605</v>
      </c>
      <c r="Q22" s="39"/>
      <c r="R22" s="37">
        <v>28</v>
      </c>
      <c r="S22" s="37">
        <f t="shared" si="1"/>
        <v>7605</v>
      </c>
      <c r="V22" s="40">
        <v>7800</v>
      </c>
    </row>
    <row r="23" spans="1:22" ht="15" customHeight="1">
      <c r="A23" s="53"/>
      <c r="B23" s="54"/>
      <c r="C23" s="55"/>
      <c r="D23" s="54"/>
      <c r="E23" s="55"/>
      <c r="F23" s="55"/>
      <c r="G23" s="54"/>
      <c r="H23" s="55"/>
      <c r="O23" s="37">
        <v>29</v>
      </c>
      <c r="P23" s="38">
        <f t="shared" si="0"/>
        <v>7312.5</v>
      </c>
      <c r="Q23" s="39"/>
      <c r="R23" s="37">
        <v>29</v>
      </c>
      <c r="S23" s="37">
        <f t="shared" si="1"/>
        <v>7312.5</v>
      </c>
      <c r="V23" s="40">
        <v>7500</v>
      </c>
    </row>
    <row r="24" spans="1:22" ht="14.25" customHeight="1">
      <c r="A24" s="53"/>
      <c r="B24" s="54"/>
      <c r="C24" s="55"/>
      <c r="D24" s="54"/>
      <c r="E24" s="55"/>
      <c r="F24" s="55"/>
      <c r="G24" s="54"/>
      <c r="H24" s="55"/>
      <c r="O24" s="39">
        <v>30</v>
      </c>
      <c r="P24" s="38">
        <f t="shared" si="0"/>
        <v>7020</v>
      </c>
      <c r="Q24" s="37"/>
      <c r="R24" s="37">
        <v>30</v>
      </c>
      <c r="S24" s="37">
        <f t="shared" si="1"/>
        <v>7020</v>
      </c>
      <c r="V24" s="40">
        <v>7200</v>
      </c>
    </row>
    <row r="25" spans="1:22" ht="14.25" customHeight="1">
      <c r="A25" s="589" t="s">
        <v>161</v>
      </c>
      <c r="B25" s="405"/>
      <c r="C25" s="582" t="s">
        <v>222</v>
      </c>
      <c r="D25" s="533"/>
      <c r="E25" s="589" t="s">
        <v>163</v>
      </c>
      <c r="F25" s="531"/>
      <c r="G25" s="531"/>
      <c r="H25" s="405"/>
      <c r="I25" s="582" t="s">
        <v>223</v>
      </c>
      <c r="J25" s="521"/>
      <c r="K25" s="533"/>
      <c r="L25" s="56"/>
      <c r="M25" s="56"/>
      <c r="O25" s="39">
        <v>31</v>
      </c>
      <c r="P25" s="38">
        <f t="shared" si="0"/>
        <v>6727.5</v>
      </c>
      <c r="Q25" s="37"/>
      <c r="R25" s="37">
        <v>31</v>
      </c>
      <c r="S25" s="37">
        <f t="shared" si="1"/>
        <v>6727.5</v>
      </c>
      <c r="V25" s="40">
        <v>6900</v>
      </c>
    </row>
    <row r="26" spans="1:22" ht="12.75" customHeight="1">
      <c r="A26" s="57" t="s">
        <v>165</v>
      </c>
      <c r="B26" s="57" t="s">
        <v>166</v>
      </c>
      <c r="C26" s="483"/>
      <c r="D26" s="534"/>
      <c r="E26" s="589" t="s">
        <v>165</v>
      </c>
      <c r="F26" s="405"/>
      <c r="G26" s="589" t="s">
        <v>166</v>
      </c>
      <c r="H26" s="405"/>
      <c r="I26" s="483"/>
      <c r="J26" s="525"/>
      <c r="K26" s="534"/>
      <c r="L26" s="56"/>
      <c r="M26" s="56"/>
      <c r="N26" s="56"/>
      <c r="O26" s="37">
        <v>32</v>
      </c>
      <c r="P26" s="38">
        <f t="shared" si="0"/>
        <v>6435</v>
      </c>
      <c r="Q26" s="39"/>
      <c r="R26" s="37">
        <v>32</v>
      </c>
      <c r="S26" s="37">
        <f t="shared" si="1"/>
        <v>6435</v>
      </c>
      <c r="V26" s="40">
        <v>6600</v>
      </c>
    </row>
    <row r="27" spans="1:22" ht="13.8">
      <c r="A27" s="83">
        <f>'Pracovník A'!E28</f>
        <v>9.3000000000000007</v>
      </c>
      <c r="B27" s="84">
        <f>'Pracovník A'!F28</f>
        <v>6</v>
      </c>
      <c r="C27" s="587" t="e">
        <f>#REF!</f>
        <v>#REF!</v>
      </c>
      <c r="D27" s="405"/>
      <c r="E27" s="588">
        <f>'Pracovník A'!G28</f>
        <v>7.2</v>
      </c>
      <c r="F27" s="405"/>
      <c r="G27" s="591">
        <f>'Pracovník A'!H28</f>
        <v>1.2</v>
      </c>
      <c r="H27" s="405"/>
      <c r="I27" s="590" t="e">
        <f>#REF!</f>
        <v>#REF!</v>
      </c>
      <c r="J27" s="531"/>
      <c r="K27" s="405"/>
      <c r="L27" s="58"/>
      <c r="M27" s="58"/>
      <c r="N27" s="56"/>
      <c r="O27" s="37">
        <v>33</v>
      </c>
      <c r="P27" s="38">
        <f t="shared" si="0"/>
        <v>6142.5</v>
      </c>
      <c r="Q27" s="39"/>
      <c r="R27" s="37">
        <v>33</v>
      </c>
      <c r="S27" s="37">
        <f t="shared" si="1"/>
        <v>6142.5</v>
      </c>
      <c r="V27" s="40">
        <v>6300</v>
      </c>
    </row>
    <row r="28" spans="1:22" ht="13.8">
      <c r="A28" s="59"/>
      <c r="B28" s="59"/>
      <c r="C28" s="59"/>
      <c r="D28" s="59"/>
      <c r="E28" s="59"/>
      <c r="F28" s="59"/>
      <c r="G28" s="59"/>
      <c r="H28" s="59"/>
      <c r="N28" s="58"/>
      <c r="O28" s="37">
        <v>34</v>
      </c>
      <c r="P28" s="38">
        <f t="shared" si="0"/>
        <v>5850</v>
      </c>
      <c r="Q28" s="39"/>
      <c r="R28" s="37">
        <v>34</v>
      </c>
      <c r="S28" s="37">
        <f t="shared" si="1"/>
        <v>5850</v>
      </c>
      <c r="V28" s="40">
        <v>6000</v>
      </c>
    </row>
    <row r="29" spans="1:22" ht="13.8">
      <c r="A29" s="59"/>
      <c r="B29" s="59"/>
      <c r="C29" s="59"/>
      <c r="D29" s="59"/>
      <c r="E29" s="59"/>
      <c r="F29" s="59"/>
      <c r="G29" s="59"/>
      <c r="H29" s="59"/>
      <c r="O29" s="37">
        <v>35</v>
      </c>
      <c r="P29" s="38">
        <f t="shared" si="0"/>
        <v>5655</v>
      </c>
      <c r="Q29" s="39"/>
      <c r="R29" s="37">
        <v>35</v>
      </c>
      <c r="S29" s="37">
        <f t="shared" si="1"/>
        <v>5655</v>
      </c>
      <c r="V29" s="40">
        <v>5800</v>
      </c>
    </row>
    <row r="30" spans="1:22" ht="13.8">
      <c r="A30" s="59"/>
      <c r="B30" s="59"/>
      <c r="C30" s="59"/>
      <c r="D30" s="59"/>
      <c r="E30" s="59"/>
      <c r="F30" s="59"/>
      <c r="G30" s="59"/>
      <c r="H30" s="59"/>
      <c r="O30" s="37">
        <v>36</v>
      </c>
      <c r="P30" s="38">
        <f t="shared" si="0"/>
        <v>5460</v>
      </c>
      <c r="Q30" s="39"/>
      <c r="R30" s="37">
        <v>36</v>
      </c>
      <c r="S30" s="37">
        <f t="shared" si="1"/>
        <v>5460</v>
      </c>
      <c r="V30" s="40">
        <v>5600</v>
      </c>
    </row>
    <row r="31" spans="1:22" ht="13.8">
      <c r="A31" s="59"/>
      <c r="B31" s="59"/>
      <c r="C31" s="59"/>
      <c r="D31" s="59"/>
      <c r="E31" s="59"/>
      <c r="F31" s="59"/>
      <c r="G31" s="59"/>
      <c r="H31" s="59"/>
      <c r="I31" s="60"/>
      <c r="O31" s="37">
        <v>37</v>
      </c>
      <c r="P31" s="38">
        <f t="shared" si="0"/>
        <v>5265</v>
      </c>
      <c r="Q31" s="39"/>
      <c r="R31" s="37">
        <v>37</v>
      </c>
      <c r="S31" s="37">
        <f t="shared" si="1"/>
        <v>5265</v>
      </c>
      <c r="V31" s="40">
        <v>5400</v>
      </c>
    </row>
    <row r="32" spans="1:22" ht="14.25" customHeight="1">
      <c r="A32" s="61"/>
      <c r="B32" s="62"/>
      <c r="C32" s="62"/>
      <c r="D32" s="62"/>
      <c r="E32" s="62"/>
      <c r="F32" s="62"/>
      <c r="G32" s="62"/>
      <c r="H32" s="62"/>
      <c r="O32" s="37">
        <v>38</v>
      </c>
      <c r="P32" s="38">
        <f t="shared" si="0"/>
        <v>5070</v>
      </c>
      <c r="Q32" s="39"/>
      <c r="R32" s="37">
        <v>38</v>
      </c>
      <c r="S32" s="37">
        <f t="shared" si="1"/>
        <v>5070</v>
      </c>
      <c r="V32" s="40">
        <v>5200</v>
      </c>
    </row>
    <row r="33" spans="1:24" ht="15" customHeight="1">
      <c r="A33" s="61"/>
      <c r="B33" s="62"/>
      <c r="C33" s="62"/>
      <c r="D33" s="62"/>
      <c r="E33" s="62"/>
      <c r="F33" s="62"/>
      <c r="G33" s="62"/>
      <c r="H33" s="62"/>
      <c r="O33" s="37">
        <v>39</v>
      </c>
      <c r="P33" s="38">
        <f t="shared" si="0"/>
        <v>4875</v>
      </c>
      <c r="Q33" s="39"/>
      <c r="R33" s="37">
        <v>39</v>
      </c>
      <c r="S33" s="37">
        <f t="shared" si="1"/>
        <v>4875</v>
      </c>
      <c r="T33" s="63"/>
      <c r="U33" s="63"/>
      <c r="V33" s="40">
        <v>5000</v>
      </c>
      <c r="W33" s="63"/>
    </row>
    <row r="34" spans="1:24" ht="12.75" customHeight="1">
      <c r="A34" s="59"/>
      <c r="B34" s="59"/>
      <c r="C34" s="59"/>
      <c r="D34" s="59"/>
      <c r="E34" s="59"/>
      <c r="F34" s="59"/>
      <c r="G34" s="59"/>
      <c r="H34" s="59"/>
      <c r="O34" s="37">
        <v>40</v>
      </c>
      <c r="P34" s="38">
        <f t="shared" si="0"/>
        <v>4680</v>
      </c>
      <c r="Q34" s="39"/>
      <c r="R34" s="37">
        <v>40</v>
      </c>
      <c r="S34" s="37">
        <f t="shared" si="1"/>
        <v>4680</v>
      </c>
      <c r="T34" s="64"/>
      <c r="U34" s="64"/>
      <c r="V34" s="40">
        <v>4800</v>
      </c>
      <c r="W34" s="64"/>
      <c r="X34" s="64"/>
    </row>
    <row r="35" spans="1:24" ht="13.5" customHeight="1">
      <c r="O35" s="37">
        <v>41</v>
      </c>
      <c r="P35" s="38">
        <f t="shared" si="0"/>
        <v>4485</v>
      </c>
      <c r="Q35" s="39"/>
      <c r="R35" s="37">
        <v>41</v>
      </c>
      <c r="S35" s="37">
        <f t="shared" si="1"/>
        <v>4485</v>
      </c>
      <c r="T35" s="65"/>
      <c r="U35" s="65"/>
      <c r="V35" s="40">
        <v>4600</v>
      </c>
      <c r="W35" s="65"/>
      <c r="X35" s="65"/>
    </row>
    <row r="36" spans="1:24" ht="13.5" customHeight="1">
      <c r="I36" s="66"/>
      <c r="O36" s="37">
        <v>42</v>
      </c>
      <c r="P36" s="38">
        <f t="shared" si="0"/>
        <v>4290</v>
      </c>
      <c r="Q36" s="39"/>
      <c r="R36" s="37">
        <v>42</v>
      </c>
      <c r="S36" s="37">
        <f t="shared" si="1"/>
        <v>4290</v>
      </c>
      <c r="V36" s="40">
        <v>4400</v>
      </c>
    </row>
    <row r="37" spans="1:24" ht="13.5" customHeight="1">
      <c r="I37" s="66"/>
      <c r="O37" s="37">
        <v>43</v>
      </c>
      <c r="P37" s="38">
        <f t="shared" si="0"/>
        <v>4095</v>
      </c>
      <c r="Q37" s="39"/>
      <c r="R37" s="37">
        <v>43</v>
      </c>
      <c r="S37" s="37">
        <f t="shared" si="1"/>
        <v>4095</v>
      </c>
      <c r="V37" s="40">
        <v>4200</v>
      </c>
    </row>
    <row r="38" spans="1:24" ht="13.5" customHeight="1">
      <c r="A38" s="67"/>
      <c r="B38" s="48"/>
      <c r="C38" s="48"/>
      <c r="D38" s="48"/>
      <c r="E38" s="48"/>
      <c r="F38" s="48"/>
      <c r="G38" s="48"/>
      <c r="H38" s="48"/>
      <c r="I38" s="68"/>
      <c r="J38" s="69"/>
      <c r="O38" s="37">
        <v>44</v>
      </c>
      <c r="P38" s="38">
        <f t="shared" si="0"/>
        <v>3900</v>
      </c>
      <c r="Q38" s="39"/>
      <c r="R38" s="37">
        <v>44</v>
      </c>
      <c r="S38" s="37">
        <f t="shared" si="1"/>
        <v>3900</v>
      </c>
      <c r="V38" s="40">
        <v>4000</v>
      </c>
    </row>
    <row r="39" spans="1:24" ht="13.5" customHeight="1">
      <c r="A39" s="48"/>
      <c r="B39" s="48"/>
      <c r="C39" s="48"/>
      <c r="D39" s="48"/>
      <c r="E39" s="48"/>
      <c r="F39" s="48"/>
      <c r="G39" s="48"/>
      <c r="H39" s="48"/>
      <c r="I39" s="68"/>
      <c r="J39" s="15"/>
      <c r="O39" s="37">
        <v>45</v>
      </c>
      <c r="P39" s="38">
        <f t="shared" si="0"/>
        <v>3705</v>
      </c>
      <c r="Q39" s="39"/>
      <c r="R39" s="37">
        <v>45</v>
      </c>
      <c r="S39" s="37">
        <f t="shared" si="1"/>
        <v>3705</v>
      </c>
      <c r="V39" s="40">
        <v>3800</v>
      </c>
    </row>
    <row r="40" spans="1:24" ht="13.5" customHeight="1">
      <c r="A40" s="581"/>
      <c r="B40" s="456"/>
      <c r="C40" s="48"/>
      <c r="D40" s="59"/>
      <c r="E40" s="59"/>
      <c r="F40" s="59"/>
      <c r="G40" s="59"/>
      <c r="H40" s="59"/>
      <c r="I40" s="68"/>
      <c r="O40" s="37">
        <v>46</v>
      </c>
      <c r="P40" s="38">
        <f t="shared" si="0"/>
        <v>3510</v>
      </c>
      <c r="Q40" s="39"/>
      <c r="R40" s="37">
        <v>46</v>
      </c>
      <c r="S40" s="37">
        <f t="shared" si="1"/>
        <v>3510</v>
      </c>
      <c r="V40" s="40">
        <v>3600</v>
      </c>
    </row>
    <row r="41" spans="1:24" ht="13.5" customHeight="1">
      <c r="A41" s="70"/>
      <c r="B41" s="70"/>
      <c r="C41" s="70"/>
      <c r="D41" s="70"/>
      <c r="E41" s="70"/>
      <c r="F41" s="70"/>
      <c r="G41" s="70"/>
      <c r="H41" s="70"/>
      <c r="I41" s="68"/>
      <c r="O41" s="37">
        <v>47</v>
      </c>
      <c r="P41" s="38">
        <f t="shared" si="0"/>
        <v>3315</v>
      </c>
      <c r="Q41" s="39"/>
      <c r="R41" s="37">
        <v>47</v>
      </c>
      <c r="S41" s="37">
        <f t="shared" si="1"/>
        <v>3315</v>
      </c>
      <c r="U41" s="71"/>
      <c r="V41" s="40">
        <v>3400</v>
      </c>
    </row>
    <row r="42" spans="1:24" ht="13.5" customHeight="1">
      <c r="A42" s="70"/>
      <c r="B42" s="70"/>
      <c r="C42" s="70"/>
      <c r="D42" s="70"/>
      <c r="E42" s="70"/>
      <c r="F42" s="70"/>
      <c r="G42" s="70"/>
      <c r="H42" s="70"/>
      <c r="I42" s="68"/>
      <c r="J42" s="72"/>
      <c r="O42" s="37">
        <v>48</v>
      </c>
      <c r="P42" s="38">
        <f t="shared" si="0"/>
        <v>3120</v>
      </c>
      <c r="Q42" s="39"/>
      <c r="R42" s="37">
        <v>48</v>
      </c>
      <c r="S42" s="37">
        <f t="shared" si="1"/>
        <v>3120</v>
      </c>
      <c r="U42" s="71"/>
      <c r="V42" s="40">
        <v>3200</v>
      </c>
    </row>
    <row r="43" spans="1:24" ht="13.5" customHeight="1">
      <c r="A43" s="70"/>
      <c r="B43" s="70"/>
      <c r="C43" s="70"/>
      <c r="D43" s="70"/>
      <c r="E43" s="70"/>
      <c r="F43" s="70"/>
      <c r="G43" s="70"/>
      <c r="H43" s="70"/>
      <c r="I43" s="68"/>
      <c r="O43" s="37">
        <v>49</v>
      </c>
      <c r="P43" s="38">
        <f t="shared" si="0"/>
        <v>2925</v>
      </c>
      <c r="Q43" s="39"/>
      <c r="R43" s="37">
        <v>49</v>
      </c>
      <c r="S43" s="37">
        <f t="shared" si="1"/>
        <v>2925</v>
      </c>
      <c r="V43" s="40">
        <v>3000</v>
      </c>
    </row>
    <row r="44" spans="1:24" ht="13.5" customHeight="1">
      <c r="A44" s="48"/>
      <c r="B44" s="48"/>
      <c r="C44" s="48"/>
      <c r="D44" s="59"/>
      <c r="E44" s="59"/>
      <c r="F44" s="59"/>
      <c r="G44" s="59"/>
      <c r="H44" s="59"/>
      <c r="I44" s="66"/>
      <c r="O44" s="37">
        <v>50</v>
      </c>
      <c r="P44" s="38">
        <f t="shared" si="0"/>
        <v>2632.5</v>
      </c>
      <c r="Q44" s="39"/>
      <c r="R44" s="37">
        <v>50</v>
      </c>
      <c r="S44" s="37">
        <f t="shared" si="1"/>
        <v>2632.5</v>
      </c>
      <c r="V44" s="40">
        <v>2700</v>
      </c>
    </row>
    <row r="45" spans="1:24" ht="13.5" customHeight="1">
      <c r="A45" s="73"/>
      <c r="B45" s="73"/>
      <c r="C45" s="73"/>
      <c r="D45" s="73"/>
      <c r="E45" s="59"/>
      <c r="F45" s="59"/>
      <c r="G45" s="59"/>
      <c r="H45" s="59"/>
      <c r="I45" s="66"/>
      <c r="O45" s="37">
        <v>51</v>
      </c>
      <c r="P45" s="38">
        <f t="shared" si="0"/>
        <v>2340</v>
      </c>
      <c r="Q45" s="39"/>
      <c r="R45" s="37">
        <v>51</v>
      </c>
      <c r="S45" s="37">
        <f t="shared" si="1"/>
        <v>2340</v>
      </c>
      <c r="V45" s="40">
        <v>2400</v>
      </c>
    </row>
    <row r="46" spans="1:24" ht="13.5" customHeight="1">
      <c r="A46" s="50"/>
      <c r="B46" s="50"/>
      <c r="C46" s="50"/>
      <c r="D46" s="50"/>
      <c r="E46" s="50"/>
      <c r="F46" s="50"/>
      <c r="G46" s="50"/>
      <c r="H46" s="50"/>
      <c r="I46" s="66"/>
      <c r="O46" s="37">
        <v>52</v>
      </c>
      <c r="P46" s="38">
        <f t="shared" si="0"/>
        <v>2047.5</v>
      </c>
      <c r="Q46" s="39"/>
      <c r="R46" s="37">
        <v>52</v>
      </c>
      <c r="S46" s="37">
        <f t="shared" si="1"/>
        <v>2047.5</v>
      </c>
      <c r="V46" s="40">
        <v>2100</v>
      </c>
    </row>
    <row r="47" spans="1:24" ht="13.5" customHeight="1">
      <c r="A47" s="74"/>
      <c r="B47" s="74"/>
      <c r="C47" s="74"/>
      <c r="D47" s="74"/>
      <c r="E47" s="74"/>
      <c r="F47" s="74"/>
      <c r="G47" s="74"/>
      <c r="H47" s="74"/>
      <c r="I47" s="66"/>
      <c r="O47" s="37">
        <v>53</v>
      </c>
      <c r="P47" s="38">
        <f t="shared" si="0"/>
        <v>1755</v>
      </c>
      <c r="Q47" s="39"/>
      <c r="R47" s="37">
        <v>53</v>
      </c>
      <c r="S47" s="37">
        <f t="shared" si="1"/>
        <v>1755</v>
      </c>
      <c r="V47" s="40">
        <v>1800</v>
      </c>
    </row>
    <row r="48" spans="1:24" ht="13.5" customHeight="1">
      <c r="A48" s="73"/>
      <c r="B48" s="73"/>
      <c r="C48" s="75"/>
      <c r="D48" s="75"/>
      <c r="E48" s="75"/>
      <c r="F48" s="75"/>
      <c r="G48" s="74"/>
      <c r="H48" s="74"/>
      <c r="I48" s="66"/>
      <c r="O48" s="37"/>
    </row>
    <row r="49" spans="1:15" ht="13.5" customHeight="1">
      <c r="A49" s="50"/>
      <c r="B49" s="50"/>
      <c r="C49" s="50"/>
      <c r="D49" s="50"/>
      <c r="E49" s="50"/>
      <c r="F49" s="50"/>
      <c r="G49" s="74"/>
      <c r="H49" s="74"/>
      <c r="I49" s="66"/>
      <c r="O49" s="37"/>
    </row>
    <row r="50" spans="1:15" ht="13.5" customHeight="1">
      <c r="A50" s="50"/>
      <c r="B50" s="50"/>
      <c r="C50" s="50"/>
      <c r="D50" s="50"/>
      <c r="E50" s="50"/>
      <c r="F50" s="50"/>
      <c r="G50" s="50"/>
      <c r="H50" s="50"/>
      <c r="I50" s="66"/>
    </row>
    <row r="51" spans="1:15" ht="13.5" customHeight="1">
      <c r="A51" s="76"/>
      <c r="B51" s="48"/>
      <c r="C51" s="48"/>
      <c r="D51" s="48"/>
      <c r="E51" s="59"/>
      <c r="F51" s="59"/>
      <c r="G51" s="59"/>
      <c r="H51" s="59"/>
      <c r="I51" s="66"/>
    </row>
    <row r="52" spans="1:15" ht="13.5" customHeight="1">
      <c r="A52" s="76"/>
      <c r="B52" s="48"/>
      <c r="C52" s="48"/>
      <c r="D52" s="48"/>
      <c r="E52" s="48"/>
      <c r="F52" s="48"/>
      <c r="G52" s="48"/>
      <c r="H52" s="48"/>
    </row>
    <row r="53" spans="1:15" ht="13.5" customHeight="1">
      <c r="A53" s="48"/>
      <c r="B53" s="48"/>
      <c r="C53" s="48"/>
      <c r="D53" s="48"/>
      <c r="E53" s="48"/>
      <c r="F53" s="48"/>
      <c r="G53" s="48"/>
      <c r="H53" s="48"/>
    </row>
    <row r="54" spans="1:15" ht="13.5" customHeight="1">
      <c r="A54" s="76"/>
      <c r="B54" s="48"/>
      <c r="C54" s="48"/>
      <c r="D54" s="48"/>
      <c r="E54" s="48"/>
      <c r="F54" s="48"/>
      <c r="G54" s="48"/>
      <c r="H54" s="48"/>
    </row>
    <row r="55" spans="1:15" ht="13.5" customHeight="1">
      <c r="A55" s="585"/>
      <c r="B55" s="456"/>
      <c r="C55" s="456"/>
      <c r="D55" s="456"/>
      <c r="E55" s="456"/>
      <c r="F55" s="456"/>
      <c r="G55" s="456"/>
      <c r="H55" s="456"/>
    </row>
    <row r="56" spans="1:15" ht="13.5" customHeight="1">
      <c r="A56" s="76"/>
      <c r="B56" s="48"/>
      <c r="C56" s="48"/>
      <c r="D56" s="48"/>
      <c r="E56" s="48"/>
      <c r="F56" s="48"/>
      <c r="G56" s="48"/>
      <c r="H56" s="48"/>
    </row>
    <row r="57" spans="1:15" ht="13.5" customHeight="1">
      <c r="A57" s="586"/>
      <c r="B57" s="456"/>
      <c r="C57" s="456"/>
      <c r="D57" s="456"/>
      <c r="E57" s="456"/>
      <c r="F57" s="456"/>
      <c r="G57" s="456"/>
      <c r="H57" s="456"/>
    </row>
    <row r="58" spans="1:15" ht="13.5" customHeight="1">
      <c r="B58" s="77"/>
      <c r="C58" s="77"/>
      <c r="D58" s="77"/>
    </row>
    <row r="59" spans="1:15" ht="13.5" customHeight="1"/>
    <row r="60" spans="1:15" ht="13.5" customHeight="1"/>
    <row r="61" spans="1:15" ht="13.5" customHeight="1"/>
    <row r="62" spans="1:15" ht="13.35" customHeight="1"/>
    <row r="63" spans="1:15">
      <c r="A63" s="78"/>
      <c r="H63" s="62"/>
      <c r="I63" s="79"/>
    </row>
    <row r="64" spans="1:15">
      <c r="A64" s="77"/>
      <c r="B64" s="80"/>
      <c r="C64" s="80"/>
      <c r="D64" s="81"/>
      <c r="H64" s="80"/>
      <c r="I64" s="82"/>
    </row>
  </sheetData>
  <sheetProtection sheet="1" objects="1" scenarios="1"/>
  <mergeCells count="21">
    <mergeCell ref="A55:H55"/>
    <mergeCell ref="A57:H57"/>
    <mergeCell ref="C27:D27"/>
    <mergeCell ref="E27:F27"/>
    <mergeCell ref="I25:K26"/>
    <mergeCell ref="E26:F26"/>
    <mergeCell ref="G26:H26"/>
    <mergeCell ref="I27:K27"/>
    <mergeCell ref="G27:H27"/>
    <mergeCell ref="E25:H25"/>
    <mergeCell ref="A25:B25"/>
    <mergeCell ref="A1:F1"/>
    <mergeCell ref="D5:H5"/>
    <mergeCell ref="A40:B40"/>
    <mergeCell ref="C25:D26"/>
    <mergeCell ref="L4:N6"/>
    <mergeCell ref="A4:F4"/>
    <mergeCell ref="A3:F3"/>
    <mergeCell ref="A6:B6"/>
    <mergeCell ref="A2:F2"/>
    <mergeCell ref="D6:H6"/>
  </mergeCells>
  <printOptions horizontalCentered="1"/>
  <pageMargins left="0.59055118110236215" right="0.59055118110236215" top="0.19685039370078741" bottom="0.19685039370078741" header="0.19685039370078741" footer="0.19685039370078741"/>
  <pageSetup paperSize="9" scale="95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List21">
    <tabColor theme="7" tint="0.59999389629810485"/>
  </sheetPr>
  <dimension ref="A1:X64"/>
  <sheetViews>
    <sheetView workbookViewId="0">
      <selection sqref="A1:F1"/>
    </sheetView>
  </sheetViews>
  <sheetFormatPr defaultRowHeight="13.2"/>
  <cols>
    <col min="1" max="4" width="10.6640625" customWidth="1"/>
    <col min="5" max="8" width="5.6640625" customWidth="1"/>
    <col min="9" max="9" width="7.6640625" customWidth="1"/>
    <col min="10" max="14" width="5.6640625" customWidth="1"/>
    <col min="15" max="15" width="9.109375" customWidth="1"/>
    <col min="16" max="16" width="8.88671875" style="71" customWidth="1"/>
    <col min="18" max="18" width="9.109375" customWidth="1"/>
    <col min="22" max="22" width="8.88671875" style="40" customWidth="1"/>
  </cols>
  <sheetData>
    <row r="1" spans="1:22" ht="13.5" customHeight="1">
      <c r="A1" s="579" t="s">
        <v>240</v>
      </c>
      <c r="B1" s="456"/>
      <c r="C1" s="456"/>
      <c r="D1" s="456"/>
      <c r="E1" s="456"/>
      <c r="F1" s="456"/>
      <c r="G1" s="35"/>
      <c r="H1" s="35"/>
      <c r="L1" s="36"/>
      <c r="M1" s="36"/>
      <c r="N1" s="36"/>
      <c r="O1" s="37">
        <v>7</v>
      </c>
      <c r="P1" s="38">
        <f t="shared" ref="P1:P47" si="0">((V1/100)*$I$6)+V1</f>
        <v>26910</v>
      </c>
      <c r="Q1" s="39"/>
      <c r="R1" s="37">
        <v>7</v>
      </c>
      <c r="S1" s="37">
        <f t="shared" ref="S1:S47" si="1">((V1/100)*$I$6)+V1</f>
        <v>26910</v>
      </c>
      <c r="V1" s="40">
        <v>27600</v>
      </c>
    </row>
    <row r="2" spans="1:22" ht="13.5" customHeight="1">
      <c r="A2" s="592" t="s">
        <v>241</v>
      </c>
      <c r="B2" s="456"/>
      <c r="C2" s="456"/>
      <c r="D2" s="456"/>
      <c r="E2" s="456"/>
      <c r="F2" s="456"/>
      <c r="G2" s="35"/>
      <c r="H2" s="35"/>
      <c r="L2" s="36"/>
      <c r="M2" s="36"/>
      <c r="N2" s="36"/>
      <c r="O2" s="37">
        <v>8</v>
      </c>
      <c r="P2" s="38">
        <f t="shared" si="0"/>
        <v>23692.5</v>
      </c>
      <c r="Q2" s="39"/>
      <c r="R2" s="37">
        <v>8</v>
      </c>
      <c r="S2" s="37">
        <f t="shared" si="1"/>
        <v>23692.5</v>
      </c>
      <c r="V2" s="40">
        <v>24300</v>
      </c>
    </row>
    <row r="3" spans="1:22" ht="13.5" customHeight="1">
      <c r="A3" s="592" t="s">
        <v>242</v>
      </c>
      <c r="B3" s="456"/>
      <c r="C3" s="456"/>
      <c r="D3" s="456"/>
      <c r="E3" s="456"/>
      <c r="F3" s="456"/>
      <c r="G3" s="35"/>
      <c r="H3" s="35"/>
      <c r="L3" s="36"/>
      <c r="M3" s="36"/>
      <c r="N3" s="36"/>
      <c r="O3" s="37">
        <v>9</v>
      </c>
      <c r="P3" s="38">
        <f t="shared" si="0"/>
        <v>21255</v>
      </c>
      <c r="Q3" s="39"/>
      <c r="R3" s="37">
        <v>9</v>
      </c>
      <c r="S3" s="37">
        <f t="shared" si="1"/>
        <v>21255</v>
      </c>
      <c r="V3" s="40">
        <v>21800</v>
      </c>
    </row>
    <row r="4" spans="1:22" ht="13.5" customHeight="1">
      <c r="A4" s="584" t="s">
        <v>243</v>
      </c>
      <c r="B4" s="525"/>
      <c r="C4" s="525"/>
      <c r="D4" s="525"/>
      <c r="E4" s="525"/>
      <c r="F4" s="525"/>
      <c r="G4" s="41"/>
      <c r="H4" s="41"/>
      <c r="I4" s="42"/>
      <c r="J4" s="42"/>
      <c r="L4" s="583" t="s">
        <v>244</v>
      </c>
      <c r="M4" s="456"/>
      <c r="N4" s="456"/>
      <c r="O4" s="37">
        <v>10</v>
      </c>
      <c r="P4" s="38">
        <f t="shared" si="0"/>
        <v>19305</v>
      </c>
      <c r="Q4" s="39"/>
      <c r="R4" s="37">
        <v>10</v>
      </c>
      <c r="S4" s="37">
        <f t="shared" si="1"/>
        <v>19305</v>
      </c>
      <c r="V4" s="40">
        <v>19800</v>
      </c>
    </row>
    <row r="5" spans="1:22" ht="13.95" customHeight="1">
      <c r="D5" s="580" t="s">
        <v>245</v>
      </c>
      <c r="E5" s="531"/>
      <c r="F5" s="531"/>
      <c r="G5" s="531"/>
      <c r="H5" s="531"/>
      <c r="I5" s="43">
        <f>'Časový snímek'!N6/60</f>
        <v>7.5</v>
      </c>
      <c r="J5" s="44" t="s">
        <v>157</v>
      </c>
      <c r="L5" s="456"/>
      <c r="M5" s="456"/>
      <c r="N5" s="456"/>
      <c r="O5" s="37">
        <v>11</v>
      </c>
      <c r="P5" s="38">
        <f t="shared" si="0"/>
        <v>17647.5</v>
      </c>
      <c r="Q5" s="39"/>
      <c r="R5" s="37">
        <v>11</v>
      </c>
      <c r="S5" s="37">
        <f t="shared" si="1"/>
        <v>17647.5</v>
      </c>
      <c r="V5" s="40">
        <v>18100</v>
      </c>
    </row>
    <row r="6" spans="1:22" ht="15" customHeight="1">
      <c r="A6" s="593" t="s">
        <v>246</v>
      </c>
      <c r="B6" s="456"/>
      <c r="C6" s="45"/>
      <c r="D6" s="580" t="s">
        <v>247</v>
      </c>
      <c r="E6" s="531"/>
      <c r="F6" s="531"/>
      <c r="G6" s="531"/>
      <c r="H6" s="531"/>
      <c r="I6" s="46">
        <f>(I5-8)*5</f>
        <v>-2.5</v>
      </c>
      <c r="J6" s="47" t="s">
        <v>159</v>
      </c>
      <c r="L6" s="456"/>
      <c r="M6" s="456"/>
      <c r="N6" s="456"/>
      <c r="O6" s="37">
        <v>12</v>
      </c>
      <c r="P6" s="38">
        <f t="shared" si="0"/>
        <v>16282.5</v>
      </c>
      <c r="Q6" s="39"/>
      <c r="R6" s="37">
        <v>12</v>
      </c>
      <c r="S6" s="37">
        <f t="shared" si="1"/>
        <v>16282.5</v>
      </c>
      <c r="V6" s="40">
        <v>16700</v>
      </c>
    </row>
    <row r="7" spans="1:22" ht="13.5" customHeight="1">
      <c r="O7" s="37">
        <v>13</v>
      </c>
      <c r="P7" s="38">
        <f t="shared" si="0"/>
        <v>15112.5</v>
      </c>
      <c r="Q7" s="39"/>
      <c r="R7" s="37">
        <v>13</v>
      </c>
      <c r="S7" s="37">
        <f t="shared" si="1"/>
        <v>15112.5</v>
      </c>
      <c r="V7" s="40">
        <v>15500</v>
      </c>
    </row>
    <row r="8" spans="1:22">
      <c r="O8" s="37">
        <v>14</v>
      </c>
      <c r="P8" s="38">
        <f t="shared" si="0"/>
        <v>14040</v>
      </c>
      <c r="Q8" s="39"/>
      <c r="R8" s="37">
        <v>14</v>
      </c>
      <c r="S8" s="37">
        <f t="shared" si="1"/>
        <v>14040</v>
      </c>
      <c r="V8" s="40">
        <v>14400</v>
      </c>
    </row>
    <row r="9" spans="1:22" ht="12.75" customHeight="1">
      <c r="A9" s="48"/>
      <c r="B9" s="48"/>
      <c r="C9" s="48"/>
      <c r="D9" s="48"/>
      <c r="E9" s="48"/>
      <c r="F9" s="48"/>
      <c r="G9" s="48"/>
      <c r="H9" s="48"/>
      <c r="O9" s="37">
        <v>15</v>
      </c>
      <c r="P9" s="38">
        <f t="shared" si="0"/>
        <v>13162.5</v>
      </c>
      <c r="Q9" s="39"/>
      <c r="R9" s="37">
        <v>15</v>
      </c>
      <c r="S9" s="37">
        <f t="shared" si="1"/>
        <v>13162.5</v>
      </c>
      <c r="V9" s="40">
        <v>13500</v>
      </c>
    </row>
    <row r="10" spans="1:22" ht="13.8">
      <c r="A10" s="49"/>
      <c r="B10" s="50"/>
      <c r="C10" s="48"/>
      <c r="D10" s="48"/>
      <c r="E10" s="50"/>
      <c r="F10" s="50"/>
      <c r="G10" s="51"/>
      <c r="H10" s="48"/>
      <c r="O10" s="37">
        <v>16</v>
      </c>
      <c r="P10" s="38">
        <f t="shared" si="0"/>
        <v>12382.5</v>
      </c>
      <c r="Q10" s="39"/>
      <c r="R10" s="37">
        <v>16</v>
      </c>
      <c r="S10" s="37">
        <f t="shared" si="1"/>
        <v>12382.5</v>
      </c>
      <c r="V10" s="40">
        <v>12700</v>
      </c>
    </row>
    <row r="11" spans="1:22" ht="12.75" customHeight="1">
      <c r="A11" s="49"/>
      <c r="B11" s="50"/>
      <c r="C11" s="48"/>
      <c r="D11" s="48"/>
      <c r="E11" s="50"/>
      <c r="F11" s="50"/>
      <c r="G11" s="51"/>
      <c r="H11" s="48"/>
      <c r="I11" s="100"/>
      <c r="J11" s="100"/>
      <c r="O11" s="37">
        <v>17</v>
      </c>
      <c r="P11" s="38">
        <f t="shared" si="0"/>
        <v>11700</v>
      </c>
      <c r="Q11" s="39"/>
      <c r="R11" s="37">
        <v>17</v>
      </c>
      <c r="S11" s="37">
        <f t="shared" si="1"/>
        <v>11700</v>
      </c>
      <c r="V11" s="40">
        <v>12000</v>
      </c>
    </row>
    <row r="12" spans="1:22" ht="13.5" customHeight="1">
      <c r="A12" s="48"/>
      <c r="B12" s="48"/>
      <c r="C12" s="48"/>
      <c r="D12" s="102"/>
      <c r="E12" s="50"/>
      <c r="F12" s="50"/>
      <c r="G12" s="50"/>
      <c r="H12" s="48"/>
      <c r="K12" s="101"/>
      <c r="O12" s="37">
        <v>18</v>
      </c>
      <c r="P12" s="38">
        <f t="shared" si="0"/>
        <v>11115</v>
      </c>
      <c r="Q12" s="39"/>
      <c r="R12" s="37">
        <v>18</v>
      </c>
      <c r="S12" s="37">
        <f t="shared" si="1"/>
        <v>11115</v>
      </c>
      <c r="V12" s="40">
        <v>11400</v>
      </c>
    </row>
    <row r="13" spans="1:22" ht="13.8">
      <c r="A13" s="48"/>
      <c r="B13" s="48"/>
      <c r="C13" s="48"/>
      <c r="D13" s="102"/>
      <c r="E13" s="48"/>
      <c r="F13" s="48"/>
      <c r="G13" s="48"/>
      <c r="H13" s="48"/>
      <c r="K13" s="101"/>
      <c r="O13" s="37">
        <v>19</v>
      </c>
      <c r="P13" s="38">
        <f t="shared" si="0"/>
        <v>10627.5</v>
      </c>
      <c r="Q13" s="39"/>
      <c r="R13" s="37">
        <v>19</v>
      </c>
      <c r="S13" s="37">
        <f t="shared" si="1"/>
        <v>10627.5</v>
      </c>
      <c r="V13" s="40">
        <v>10900</v>
      </c>
    </row>
    <row r="14" spans="1:22" ht="13.8">
      <c r="A14" s="48"/>
      <c r="B14" s="48"/>
      <c r="C14" s="48"/>
      <c r="D14" s="102"/>
      <c r="E14" s="48"/>
      <c r="F14" s="48"/>
      <c r="G14" s="48"/>
      <c r="H14" s="48"/>
      <c r="K14" s="101"/>
      <c r="O14" s="37">
        <v>20</v>
      </c>
      <c r="P14" s="38">
        <f t="shared" si="0"/>
        <v>10140</v>
      </c>
      <c r="Q14" s="39"/>
      <c r="R14" s="37">
        <v>20</v>
      </c>
      <c r="S14" s="37">
        <f t="shared" si="1"/>
        <v>10140</v>
      </c>
      <c r="V14" s="40">
        <v>10400</v>
      </c>
    </row>
    <row r="15" spans="1:22" ht="12.75" customHeight="1">
      <c r="A15" s="48"/>
      <c r="B15" s="48"/>
      <c r="C15" s="48"/>
      <c r="D15" s="102"/>
      <c r="E15" s="48"/>
      <c r="F15" s="48"/>
      <c r="G15" s="48"/>
      <c r="H15" s="48"/>
      <c r="J15" t="s">
        <v>248</v>
      </c>
      <c r="K15" s="101"/>
      <c r="O15" s="37">
        <v>21</v>
      </c>
      <c r="P15" s="38">
        <f t="shared" si="0"/>
        <v>9750</v>
      </c>
      <c r="Q15" s="39"/>
      <c r="R15" s="37">
        <v>21</v>
      </c>
      <c r="S15" s="37">
        <f t="shared" si="1"/>
        <v>9750</v>
      </c>
      <c r="V15" s="40">
        <v>10000</v>
      </c>
    </row>
    <row r="16" spans="1:22" ht="12.75" customHeight="1">
      <c r="A16" s="48"/>
      <c r="B16" s="99"/>
      <c r="C16" s="52"/>
      <c r="D16" s="103"/>
      <c r="E16" s="52"/>
      <c r="F16" s="99"/>
      <c r="G16" s="52"/>
      <c r="H16" s="48"/>
      <c r="K16" s="101"/>
      <c r="O16" s="37">
        <v>22</v>
      </c>
      <c r="P16" s="38">
        <f t="shared" si="0"/>
        <v>9360</v>
      </c>
      <c r="Q16" s="39"/>
      <c r="R16" s="37">
        <v>22</v>
      </c>
      <c r="S16" s="37">
        <f t="shared" si="1"/>
        <v>9360</v>
      </c>
      <c r="V16" s="40">
        <v>9600</v>
      </c>
    </row>
    <row r="17" spans="1:22" ht="12.75" customHeight="1">
      <c r="A17" s="53"/>
      <c r="B17" s="54"/>
      <c r="C17" s="55"/>
      <c r="D17" s="104"/>
      <c r="E17" s="55"/>
      <c r="F17" s="54"/>
      <c r="G17" s="55"/>
      <c r="H17" s="48"/>
      <c r="K17" s="101"/>
      <c r="O17" s="37">
        <v>23</v>
      </c>
      <c r="P17" s="38">
        <f t="shared" si="0"/>
        <v>9067.5</v>
      </c>
      <c r="Q17" s="39"/>
      <c r="R17" s="37">
        <v>23</v>
      </c>
      <c r="S17" s="37">
        <f t="shared" si="1"/>
        <v>9067.5</v>
      </c>
      <c r="V17" s="40">
        <v>9300</v>
      </c>
    </row>
    <row r="18" spans="1:22" ht="12.75" customHeight="1">
      <c r="A18" s="53"/>
      <c r="B18" s="54"/>
      <c r="C18" s="55"/>
      <c r="D18" s="104"/>
      <c r="E18" s="55"/>
      <c r="F18" s="54"/>
      <c r="G18" s="55"/>
      <c r="H18" s="48"/>
      <c r="K18" s="101"/>
      <c r="O18" s="37">
        <v>24</v>
      </c>
      <c r="P18" s="38">
        <f t="shared" si="0"/>
        <v>8775</v>
      </c>
      <c r="Q18" s="39"/>
      <c r="R18" s="37">
        <v>24</v>
      </c>
      <c r="S18" s="37">
        <f t="shared" si="1"/>
        <v>8775</v>
      </c>
      <c r="V18" s="40">
        <v>9000</v>
      </c>
    </row>
    <row r="19" spans="1:22" ht="12.75" customHeight="1">
      <c r="A19" s="53"/>
      <c r="B19" s="54"/>
      <c r="C19" s="55"/>
      <c r="D19" s="104"/>
      <c r="E19" s="55"/>
      <c r="F19" s="54"/>
      <c r="G19" s="55"/>
      <c r="H19" s="48"/>
      <c r="K19" s="101"/>
      <c r="O19" s="37">
        <v>25</v>
      </c>
      <c r="P19" s="38">
        <f t="shared" si="0"/>
        <v>8482.5</v>
      </c>
      <c r="Q19" s="39"/>
      <c r="R19" s="37">
        <v>25</v>
      </c>
      <c r="S19" s="37">
        <f t="shared" si="1"/>
        <v>8482.5</v>
      </c>
      <c r="V19" s="40">
        <v>8700</v>
      </c>
    </row>
    <row r="20" spans="1:22" ht="12.75" customHeight="1">
      <c r="A20" s="53"/>
      <c r="B20" s="54"/>
      <c r="C20" s="55"/>
      <c r="D20" s="104"/>
      <c r="E20" s="55"/>
      <c r="F20" s="54"/>
      <c r="G20" s="55"/>
      <c r="H20" s="48"/>
      <c r="K20" s="101"/>
      <c r="O20" s="37">
        <v>26</v>
      </c>
      <c r="P20" s="38">
        <f t="shared" si="0"/>
        <v>8190</v>
      </c>
      <c r="Q20" s="39"/>
      <c r="R20" s="37">
        <v>26</v>
      </c>
      <c r="S20" s="37">
        <f t="shared" si="1"/>
        <v>8190</v>
      </c>
      <c r="V20" s="40">
        <v>8400</v>
      </c>
    </row>
    <row r="21" spans="1:22" ht="12.75" customHeight="1">
      <c r="A21" s="53"/>
      <c r="B21" s="54"/>
      <c r="C21" s="55"/>
      <c r="D21" s="104"/>
      <c r="E21" s="55"/>
      <c r="F21" s="55"/>
      <c r="G21" s="54"/>
      <c r="H21" s="55"/>
      <c r="K21" s="101"/>
      <c r="O21" s="37">
        <v>27</v>
      </c>
      <c r="P21" s="38">
        <f t="shared" si="0"/>
        <v>7897.5</v>
      </c>
      <c r="Q21" s="39"/>
      <c r="R21" s="37">
        <v>27</v>
      </c>
      <c r="S21" s="37">
        <f t="shared" si="1"/>
        <v>7897.5</v>
      </c>
      <c r="V21" s="40">
        <v>8100</v>
      </c>
    </row>
    <row r="22" spans="1:22" ht="14.25" customHeight="1">
      <c r="A22" s="53"/>
      <c r="B22" s="54"/>
      <c r="C22" s="55"/>
      <c r="D22" s="54"/>
      <c r="E22" s="55"/>
      <c r="F22" s="55"/>
      <c r="G22" s="54"/>
      <c r="H22" s="55"/>
      <c r="O22" s="37">
        <v>28</v>
      </c>
      <c r="P22" s="38">
        <f t="shared" si="0"/>
        <v>7605</v>
      </c>
      <c r="Q22" s="39"/>
      <c r="R22" s="37">
        <v>28</v>
      </c>
      <c r="S22" s="37">
        <f t="shared" si="1"/>
        <v>7605</v>
      </c>
      <c r="V22" s="40">
        <v>7800</v>
      </c>
    </row>
    <row r="23" spans="1:22" ht="15" customHeight="1">
      <c r="A23" s="53"/>
      <c r="B23" s="54"/>
      <c r="C23" s="55"/>
      <c r="D23" s="54"/>
      <c r="E23" s="55"/>
      <c r="F23" s="55"/>
      <c r="G23" s="54"/>
      <c r="H23" s="55"/>
      <c r="O23" s="37">
        <v>29</v>
      </c>
      <c r="P23" s="38">
        <f t="shared" si="0"/>
        <v>7312.5</v>
      </c>
      <c r="Q23" s="39"/>
      <c r="R23" s="37">
        <v>29</v>
      </c>
      <c r="S23" s="37">
        <f t="shared" si="1"/>
        <v>7312.5</v>
      </c>
      <c r="V23" s="40">
        <v>7500</v>
      </c>
    </row>
    <row r="24" spans="1:22" ht="14.25" customHeight="1">
      <c r="A24" s="53"/>
      <c r="B24" s="54"/>
      <c r="C24" s="55"/>
      <c r="D24" s="54"/>
      <c r="E24" s="55"/>
      <c r="F24" s="55"/>
      <c r="G24" s="54"/>
      <c r="H24" s="55"/>
      <c r="O24" s="39">
        <v>30</v>
      </c>
      <c r="P24" s="38">
        <f t="shared" si="0"/>
        <v>7020</v>
      </c>
      <c r="Q24" s="37"/>
      <c r="R24" s="37">
        <v>30</v>
      </c>
      <c r="S24" s="37">
        <f t="shared" si="1"/>
        <v>7020</v>
      </c>
      <c r="V24" s="40">
        <v>7200</v>
      </c>
    </row>
    <row r="25" spans="1:22" ht="14.25" customHeight="1">
      <c r="A25" s="589" t="s">
        <v>161</v>
      </c>
      <c r="B25" s="405"/>
      <c r="C25" s="582" t="s">
        <v>222</v>
      </c>
      <c r="D25" s="533"/>
      <c r="E25" s="589" t="s">
        <v>163</v>
      </c>
      <c r="F25" s="531"/>
      <c r="G25" s="531"/>
      <c r="H25" s="405"/>
      <c r="I25" s="582" t="s">
        <v>223</v>
      </c>
      <c r="J25" s="521"/>
      <c r="K25" s="533"/>
      <c r="L25" s="56"/>
      <c r="M25" s="56"/>
      <c r="O25" s="39">
        <v>31</v>
      </c>
      <c r="P25" s="38">
        <f t="shared" si="0"/>
        <v>6727.5</v>
      </c>
      <c r="Q25" s="37"/>
      <c r="R25" s="37">
        <v>31</v>
      </c>
      <c r="S25" s="37">
        <f t="shared" si="1"/>
        <v>6727.5</v>
      </c>
      <c r="V25" s="40">
        <v>6900</v>
      </c>
    </row>
    <row r="26" spans="1:22" ht="12.75" customHeight="1">
      <c r="A26" s="57" t="s">
        <v>165</v>
      </c>
      <c r="B26" s="57" t="s">
        <v>166</v>
      </c>
      <c r="C26" s="483"/>
      <c r="D26" s="534"/>
      <c r="E26" s="589" t="s">
        <v>165</v>
      </c>
      <c r="F26" s="405"/>
      <c r="G26" s="589" t="s">
        <v>166</v>
      </c>
      <c r="H26" s="405"/>
      <c r="I26" s="483"/>
      <c r="J26" s="525"/>
      <c r="K26" s="534"/>
      <c r="L26" s="56"/>
      <c r="M26" s="56"/>
      <c r="N26" s="56"/>
      <c r="O26" s="37">
        <v>32</v>
      </c>
      <c r="P26" s="38">
        <f t="shared" si="0"/>
        <v>6435</v>
      </c>
      <c r="Q26" s="39"/>
      <c r="R26" s="37">
        <v>32</v>
      </c>
      <c r="S26" s="37">
        <f t="shared" si="1"/>
        <v>6435</v>
      </c>
      <c r="V26" s="40">
        <v>6600</v>
      </c>
    </row>
    <row r="27" spans="1:22" ht="13.8">
      <c r="A27" s="83" t="e">
        <f>#REF!</f>
        <v>#REF!</v>
      </c>
      <c r="B27" s="84" t="e">
        <f>#REF!</f>
        <v>#REF!</v>
      </c>
      <c r="C27" s="587" t="e">
        <f>#REF!</f>
        <v>#REF!</v>
      </c>
      <c r="D27" s="405"/>
      <c r="E27" s="588" t="e">
        <f>#REF!</f>
        <v>#REF!</v>
      </c>
      <c r="F27" s="405"/>
      <c r="G27" s="591" t="e">
        <f>#REF!</f>
        <v>#REF!</v>
      </c>
      <c r="H27" s="405"/>
      <c r="I27" s="590" t="e">
        <f>#REF!</f>
        <v>#REF!</v>
      </c>
      <c r="J27" s="531"/>
      <c r="K27" s="405"/>
      <c r="L27" s="58"/>
      <c r="M27" s="58"/>
      <c r="N27" s="56"/>
      <c r="O27" s="37">
        <v>33</v>
      </c>
      <c r="P27" s="38">
        <f t="shared" si="0"/>
        <v>6142.5</v>
      </c>
      <c r="Q27" s="39"/>
      <c r="R27" s="37">
        <v>33</v>
      </c>
      <c r="S27" s="37">
        <f t="shared" si="1"/>
        <v>6142.5</v>
      </c>
      <c r="V27" s="40">
        <v>6300</v>
      </c>
    </row>
    <row r="28" spans="1:22" ht="13.8">
      <c r="A28" s="59"/>
      <c r="B28" s="59"/>
      <c r="C28" s="59"/>
      <c r="D28" s="59"/>
      <c r="E28" s="59"/>
      <c r="F28" s="59"/>
      <c r="G28" s="59"/>
      <c r="H28" s="59"/>
      <c r="N28" s="58"/>
      <c r="O28" s="37">
        <v>34</v>
      </c>
      <c r="P28" s="38">
        <f t="shared" si="0"/>
        <v>5850</v>
      </c>
      <c r="Q28" s="39"/>
      <c r="R28" s="37">
        <v>34</v>
      </c>
      <c r="S28" s="37">
        <f t="shared" si="1"/>
        <v>5850</v>
      </c>
      <c r="V28" s="40">
        <v>6000</v>
      </c>
    </row>
    <row r="29" spans="1:22" ht="13.8">
      <c r="A29" s="59"/>
      <c r="B29" s="59"/>
      <c r="C29" s="59"/>
      <c r="D29" s="59"/>
      <c r="E29" s="59"/>
      <c r="F29" s="59"/>
      <c r="G29" s="59"/>
      <c r="H29" s="59"/>
      <c r="O29" s="37">
        <v>35</v>
      </c>
      <c r="P29" s="38">
        <f t="shared" si="0"/>
        <v>5655</v>
      </c>
      <c r="Q29" s="39"/>
      <c r="R29" s="37">
        <v>35</v>
      </c>
      <c r="S29" s="37">
        <f t="shared" si="1"/>
        <v>5655</v>
      </c>
      <c r="V29" s="40">
        <v>5800</v>
      </c>
    </row>
    <row r="30" spans="1:22" ht="13.8">
      <c r="A30" s="59"/>
      <c r="B30" s="59"/>
      <c r="C30" s="59"/>
      <c r="D30" s="59"/>
      <c r="E30" s="59"/>
      <c r="F30" s="59"/>
      <c r="G30" s="59"/>
      <c r="H30" s="59"/>
      <c r="O30" s="37">
        <v>36</v>
      </c>
      <c r="P30" s="38">
        <f t="shared" si="0"/>
        <v>5460</v>
      </c>
      <c r="Q30" s="39"/>
      <c r="R30" s="37">
        <v>36</v>
      </c>
      <c r="S30" s="37">
        <f t="shared" si="1"/>
        <v>5460</v>
      </c>
      <c r="V30" s="40">
        <v>5600</v>
      </c>
    </row>
    <row r="31" spans="1:22" ht="13.8">
      <c r="A31" s="59"/>
      <c r="B31" s="59"/>
      <c r="C31" s="59"/>
      <c r="D31" s="59"/>
      <c r="E31" s="59"/>
      <c r="F31" s="59"/>
      <c r="G31" s="59"/>
      <c r="H31" s="59"/>
      <c r="I31" s="60"/>
      <c r="O31" s="37">
        <v>37</v>
      </c>
      <c r="P31" s="38">
        <f t="shared" si="0"/>
        <v>5265</v>
      </c>
      <c r="Q31" s="39"/>
      <c r="R31" s="37">
        <v>37</v>
      </c>
      <c r="S31" s="37">
        <f t="shared" si="1"/>
        <v>5265</v>
      </c>
      <c r="V31" s="40">
        <v>5400</v>
      </c>
    </row>
    <row r="32" spans="1:22" ht="14.25" customHeight="1">
      <c r="A32" s="61"/>
      <c r="B32" s="62"/>
      <c r="C32" s="62"/>
      <c r="D32" s="62"/>
      <c r="E32" s="62"/>
      <c r="F32" s="62"/>
      <c r="G32" s="62"/>
      <c r="H32" s="62"/>
      <c r="O32" s="37">
        <v>38</v>
      </c>
      <c r="P32" s="38">
        <f t="shared" si="0"/>
        <v>5070</v>
      </c>
      <c r="Q32" s="39"/>
      <c r="R32" s="37">
        <v>38</v>
      </c>
      <c r="S32" s="37">
        <f t="shared" si="1"/>
        <v>5070</v>
      </c>
      <c r="V32" s="40">
        <v>5200</v>
      </c>
    </row>
    <row r="33" spans="1:24" ht="15" customHeight="1">
      <c r="A33" s="61"/>
      <c r="B33" s="62"/>
      <c r="C33" s="62"/>
      <c r="D33" s="62"/>
      <c r="E33" s="62"/>
      <c r="F33" s="62"/>
      <c r="G33" s="62"/>
      <c r="H33" s="62"/>
      <c r="O33" s="37">
        <v>39</v>
      </c>
      <c r="P33" s="38">
        <f t="shared" si="0"/>
        <v>4875</v>
      </c>
      <c r="Q33" s="39"/>
      <c r="R33" s="37">
        <v>39</v>
      </c>
      <c r="S33" s="37">
        <f t="shared" si="1"/>
        <v>4875</v>
      </c>
      <c r="T33" s="63"/>
      <c r="U33" s="63"/>
      <c r="V33" s="40">
        <v>5000</v>
      </c>
      <c r="W33" s="63"/>
    </row>
    <row r="34" spans="1:24" ht="12.75" customHeight="1">
      <c r="A34" s="59"/>
      <c r="B34" s="59"/>
      <c r="C34" s="59"/>
      <c r="D34" s="59"/>
      <c r="E34" s="59"/>
      <c r="F34" s="59"/>
      <c r="G34" s="59"/>
      <c r="H34" s="59"/>
      <c r="O34" s="37">
        <v>40</v>
      </c>
      <c r="P34" s="38">
        <f t="shared" si="0"/>
        <v>4680</v>
      </c>
      <c r="Q34" s="39"/>
      <c r="R34" s="37">
        <v>40</v>
      </c>
      <c r="S34" s="37">
        <f t="shared" si="1"/>
        <v>4680</v>
      </c>
      <c r="T34" s="64"/>
      <c r="U34" s="64"/>
      <c r="V34" s="40">
        <v>4800</v>
      </c>
      <c r="W34" s="64"/>
      <c r="X34" s="64"/>
    </row>
    <row r="35" spans="1:24" ht="13.5" customHeight="1">
      <c r="O35" s="37">
        <v>41</v>
      </c>
      <c r="P35" s="38">
        <f t="shared" si="0"/>
        <v>4485</v>
      </c>
      <c r="Q35" s="39"/>
      <c r="R35" s="37">
        <v>41</v>
      </c>
      <c r="S35" s="37">
        <f t="shared" si="1"/>
        <v>4485</v>
      </c>
      <c r="T35" s="65"/>
      <c r="U35" s="65"/>
      <c r="V35" s="40">
        <v>4600</v>
      </c>
      <c r="W35" s="65"/>
      <c r="X35" s="65"/>
    </row>
    <row r="36" spans="1:24" ht="13.5" customHeight="1">
      <c r="I36" s="66"/>
      <c r="O36" s="37">
        <v>42</v>
      </c>
      <c r="P36" s="38">
        <f t="shared" si="0"/>
        <v>4290</v>
      </c>
      <c r="Q36" s="39"/>
      <c r="R36" s="37">
        <v>42</v>
      </c>
      <c r="S36" s="37">
        <f t="shared" si="1"/>
        <v>4290</v>
      </c>
      <c r="V36" s="40">
        <v>4400</v>
      </c>
    </row>
    <row r="37" spans="1:24" ht="13.5" customHeight="1">
      <c r="I37" s="66"/>
      <c r="O37" s="37">
        <v>43</v>
      </c>
      <c r="P37" s="38">
        <f t="shared" si="0"/>
        <v>4095</v>
      </c>
      <c r="Q37" s="39"/>
      <c r="R37" s="37">
        <v>43</v>
      </c>
      <c r="S37" s="37">
        <f t="shared" si="1"/>
        <v>4095</v>
      </c>
      <c r="V37" s="40">
        <v>4200</v>
      </c>
    </row>
    <row r="38" spans="1:24" ht="13.5" customHeight="1">
      <c r="A38" s="67"/>
      <c r="B38" s="48"/>
      <c r="C38" s="48"/>
      <c r="D38" s="48"/>
      <c r="E38" s="48"/>
      <c r="F38" s="48"/>
      <c r="G38" s="48"/>
      <c r="H38" s="48"/>
      <c r="I38" s="68"/>
      <c r="J38" s="69"/>
      <c r="O38" s="37">
        <v>44</v>
      </c>
      <c r="P38" s="38">
        <f t="shared" si="0"/>
        <v>3900</v>
      </c>
      <c r="Q38" s="39"/>
      <c r="R38" s="37">
        <v>44</v>
      </c>
      <c r="S38" s="37">
        <f t="shared" si="1"/>
        <v>3900</v>
      </c>
      <c r="V38" s="40">
        <v>4000</v>
      </c>
    </row>
    <row r="39" spans="1:24" ht="13.5" customHeight="1">
      <c r="A39" s="48"/>
      <c r="B39" s="48"/>
      <c r="C39" s="48"/>
      <c r="D39" s="48"/>
      <c r="E39" s="48"/>
      <c r="F39" s="48"/>
      <c r="G39" s="48"/>
      <c r="H39" s="48"/>
      <c r="I39" s="68"/>
      <c r="J39" s="15"/>
      <c r="O39" s="37">
        <v>45</v>
      </c>
      <c r="P39" s="38">
        <f t="shared" si="0"/>
        <v>3705</v>
      </c>
      <c r="Q39" s="39"/>
      <c r="R39" s="37">
        <v>45</v>
      </c>
      <c r="S39" s="37">
        <f t="shared" si="1"/>
        <v>3705</v>
      </c>
      <c r="V39" s="40">
        <v>3800</v>
      </c>
    </row>
    <row r="40" spans="1:24" ht="13.5" customHeight="1">
      <c r="A40" s="581"/>
      <c r="B40" s="456"/>
      <c r="C40" s="48"/>
      <c r="D40" s="59"/>
      <c r="E40" s="59"/>
      <c r="F40" s="59"/>
      <c r="G40" s="59"/>
      <c r="H40" s="59"/>
      <c r="I40" s="68"/>
      <c r="O40" s="37">
        <v>46</v>
      </c>
      <c r="P40" s="38">
        <f t="shared" si="0"/>
        <v>3510</v>
      </c>
      <c r="Q40" s="39"/>
      <c r="R40" s="37">
        <v>46</v>
      </c>
      <c r="S40" s="37">
        <f t="shared" si="1"/>
        <v>3510</v>
      </c>
      <c r="V40" s="40">
        <v>3600</v>
      </c>
    </row>
    <row r="41" spans="1:24" ht="13.5" customHeight="1">
      <c r="A41" s="70"/>
      <c r="B41" s="70"/>
      <c r="C41" s="70"/>
      <c r="D41" s="70"/>
      <c r="E41" s="70"/>
      <c r="F41" s="70"/>
      <c r="G41" s="70"/>
      <c r="H41" s="70"/>
      <c r="I41" s="68"/>
      <c r="O41" s="37">
        <v>47</v>
      </c>
      <c r="P41" s="38">
        <f t="shared" si="0"/>
        <v>3315</v>
      </c>
      <c r="Q41" s="39"/>
      <c r="R41" s="37">
        <v>47</v>
      </c>
      <c r="S41" s="37">
        <f t="shared" si="1"/>
        <v>3315</v>
      </c>
      <c r="U41" s="71"/>
      <c r="V41" s="40">
        <v>3400</v>
      </c>
    </row>
    <row r="42" spans="1:24" ht="13.5" customHeight="1">
      <c r="A42" s="70"/>
      <c r="B42" s="70"/>
      <c r="C42" s="70"/>
      <c r="D42" s="70"/>
      <c r="E42" s="70"/>
      <c r="F42" s="70"/>
      <c r="G42" s="70"/>
      <c r="H42" s="70"/>
      <c r="I42" s="68"/>
      <c r="J42" s="72"/>
      <c r="O42" s="37">
        <v>48</v>
      </c>
      <c r="P42" s="38">
        <f t="shared" si="0"/>
        <v>3120</v>
      </c>
      <c r="Q42" s="39"/>
      <c r="R42" s="37">
        <v>48</v>
      </c>
      <c r="S42" s="37">
        <f t="shared" si="1"/>
        <v>3120</v>
      </c>
      <c r="U42" s="71"/>
      <c r="V42" s="40">
        <v>3200</v>
      </c>
    </row>
    <row r="43" spans="1:24" ht="13.5" customHeight="1">
      <c r="A43" s="70"/>
      <c r="B43" s="70"/>
      <c r="C43" s="70"/>
      <c r="D43" s="70"/>
      <c r="E43" s="70"/>
      <c r="F43" s="70"/>
      <c r="G43" s="70"/>
      <c r="H43" s="70"/>
      <c r="I43" s="68"/>
      <c r="O43" s="37">
        <v>49</v>
      </c>
      <c r="P43" s="38">
        <f t="shared" si="0"/>
        <v>2925</v>
      </c>
      <c r="Q43" s="39"/>
      <c r="R43" s="37">
        <v>49</v>
      </c>
      <c r="S43" s="37">
        <f t="shared" si="1"/>
        <v>2925</v>
      </c>
      <c r="V43" s="40">
        <v>3000</v>
      </c>
    </row>
    <row r="44" spans="1:24" ht="13.5" customHeight="1">
      <c r="A44" s="48"/>
      <c r="B44" s="48"/>
      <c r="C44" s="48"/>
      <c r="D44" s="59"/>
      <c r="E44" s="59"/>
      <c r="F44" s="59"/>
      <c r="G44" s="59"/>
      <c r="H44" s="59"/>
      <c r="I44" s="66"/>
      <c r="O44" s="37">
        <v>50</v>
      </c>
      <c r="P44" s="38">
        <f t="shared" si="0"/>
        <v>2632.5</v>
      </c>
      <c r="Q44" s="39"/>
      <c r="R44" s="37">
        <v>50</v>
      </c>
      <c r="S44" s="37">
        <f t="shared" si="1"/>
        <v>2632.5</v>
      </c>
      <c r="V44" s="40">
        <v>2700</v>
      </c>
    </row>
    <row r="45" spans="1:24" ht="13.5" customHeight="1">
      <c r="A45" s="73"/>
      <c r="B45" s="73"/>
      <c r="C45" s="73"/>
      <c r="D45" s="73"/>
      <c r="E45" s="59"/>
      <c r="F45" s="59"/>
      <c r="G45" s="59"/>
      <c r="H45" s="59"/>
      <c r="I45" s="66"/>
      <c r="O45" s="37">
        <v>51</v>
      </c>
      <c r="P45" s="38">
        <f t="shared" si="0"/>
        <v>2340</v>
      </c>
      <c r="Q45" s="39"/>
      <c r="R45" s="37">
        <v>51</v>
      </c>
      <c r="S45" s="37">
        <f t="shared" si="1"/>
        <v>2340</v>
      </c>
      <c r="V45" s="40">
        <v>2400</v>
      </c>
    </row>
    <row r="46" spans="1:24" ht="13.5" customHeight="1">
      <c r="A46" s="50"/>
      <c r="B46" s="50"/>
      <c r="C46" s="50"/>
      <c r="D46" s="50"/>
      <c r="E46" s="50"/>
      <c r="F46" s="50"/>
      <c r="G46" s="50"/>
      <c r="H46" s="50"/>
      <c r="I46" s="66"/>
      <c r="O46" s="37">
        <v>52</v>
      </c>
      <c r="P46" s="38">
        <f t="shared" si="0"/>
        <v>2047.5</v>
      </c>
      <c r="Q46" s="39"/>
      <c r="R46" s="37">
        <v>52</v>
      </c>
      <c r="S46" s="37">
        <f t="shared" si="1"/>
        <v>2047.5</v>
      </c>
      <c r="V46" s="40">
        <v>2100</v>
      </c>
    </row>
    <row r="47" spans="1:24" ht="13.5" customHeight="1">
      <c r="A47" s="74"/>
      <c r="B47" s="74"/>
      <c r="C47" s="74"/>
      <c r="D47" s="74"/>
      <c r="E47" s="74"/>
      <c r="F47" s="74"/>
      <c r="G47" s="74"/>
      <c r="H47" s="74"/>
      <c r="I47" s="66"/>
      <c r="O47" s="37">
        <v>53</v>
      </c>
      <c r="P47" s="38">
        <f t="shared" si="0"/>
        <v>1755</v>
      </c>
      <c r="Q47" s="39"/>
      <c r="R47" s="37">
        <v>53</v>
      </c>
      <c r="S47" s="37">
        <f t="shared" si="1"/>
        <v>1755</v>
      </c>
      <c r="V47" s="40">
        <v>1800</v>
      </c>
    </row>
    <row r="48" spans="1:24" ht="13.5" customHeight="1">
      <c r="A48" s="73"/>
      <c r="B48" s="73"/>
      <c r="C48" s="75"/>
      <c r="D48" s="75"/>
      <c r="E48" s="75"/>
      <c r="F48" s="75"/>
      <c r="G48" s="74"/>
      <c r="H48" s="74"/>
      <c r="I48" s="66"/>
      <c r="O48" s="37"/>
    </row>
    <row r="49" spans="1:15" ht="13.5" customHeight="1">
      <c r="A49" s="50"/>
      <c r="B49" s="50"/>
      <c r="C49" s="50"/>
      <c r="D49" s="50"/>
      <c r="E49" s="50"/>
      <c r="F49" s="50"/>
      <c r="G49" s="74"/>
      <c r="H49" s="74"/>
      <c r="I49" s="66"/>
      <c r="O49" s="37"/>
    </row>
    <row r="50" spans="1:15" ht="13.5" customHeight="1">
      <c r="A50" s="50"/>
      <c r="B50" s="50"/>
      <c r="C50" s="50"/>
      <c r="D50" s="50"/>
      <c r="E50" s="50"/>
      <c r="F50" s="50"/>
      <c r="G50" s="50"/>
      <c r="H50" s="50"/>
      <c r="I50" s="66"/>
    </row>
    <row r="51" spans="1:15" ht="13.5" customHeight="1">
      <c r="A51" s="76"/>
      <c r="B51" s="48"/>
      <c r="C51" s="48"/>
      <c r="D51" s="48"/>
      <c r="E51" s="59"/>
      <c r="F51" s="59"/>
      <c r="G51" s="59"/>
      <c r="H51" s="59"/>
      <c r="I51" s="66"/>
    </row>
    <row r="52" spans="1:15" ht="13.5" customHeight="1">
      <c r="A52" s="76"/>
      <c r="B52" s="48"/>
      <c r="C52" s="48"/>
      <c r="D52" s="48"/>
      <c r="E52" s="48"/>
      <c r="F52" s="48"/>
      <c r="G52" s="48"/>
      <c r="H52" s="48"/>
    </row>
    <row r="53" spans="1:15" ht="13.5" customHeight="1">
      <c r="A53" s="48"/>
      <c r="B53" s="48"/>
      <c r="C53" s="48"/>
      <c r="D53" s="48"/>
      <c r="E53" s="48"/>
      <c r="F53" s="48"/>
      <c r="G53" s="48"/>
      <c r="H53" s="48"/>
    </row>
    <row r="54" spans="1:15" ht="13.5" customHeight="1">
      <c r="A54" s="76"/>
      <c r="B54" s="48"/>
      <c r="C54" s="48"/>
      <c r="D54" s="48"/>
      <c r="E54" s="48"/>
      <c r="F54" s="48"/>
      <c r="G54" s="48"/>
      <c r="H54" s="48"/>
    </row>
    <row r="55" spans="1:15" ht="13.5" customHeight="1">
      <c r="A55" s="585"/>
      <c r="B55" s="456"/>
      <c r="C55" s="456"/>
      <c r="D55" s="456"/>
      <c r="E55" s="456"/>
      <c r="F55" s="456"/>
      <c r="G55" s="456"/>
      <c r="H55" s="456"/>
    </row>
    <row r="56" spans="1:15" ht="13.5" customHeight="1">
      <c r="A56" s="76"/>
      <c r="B56" s="48"/>
      <c r="C56" s="48"/>
      <c r="D56" s="48"/>
      <c r="E56" s="48"/>
      <c r="F56" s="48"/>
      <c r="G56" s="48"/>
      <c r="H56" s="48"/>
    </row>
    <row r="57" spans="1:15" ht="13.5" customHeight="1">
      <c r="A57" s="586"/>
      <c r="B57" s="456"/>
      <c r="C57" s="456"/>
      <c r="D57" s="456"/>
      <c r="E57" s="456"/>
      <c r="F57" s="456"/>
      <c r="G57" s="456"/>
      <c r="H57" s="456"/>
    </row>
    <row r="58" spans="1:15" ht="13.5" customHeight="1">
      <c r="B58" s="77"/>
      <c r="C58" s="77"/>
      <c r="D58" s="77"/>
    </row>
    <row r="59" spans="1:15" ht="13.5" customHeight="1"/>
    <row r="60" spans="1:15" ht="13.5" customHeight="1"/>
    <row r="61" spans="1:15" ht="13.5" customHeight="1"/>
    <row r="62" spans="1:15" ht="13.35" customHeight="1"/>
    <row r="63" spans="1:15">
      <c r="A63" s="78"/>
      <c r="H63" s="62"/>
      <c r="I63" s="79"/>
    </row>
    <row r="64" spans="1:15">
      <c r="A64" s="77"/>
      <c r="B64" s="80"/>
      <c r="C64" s="80"/>
      <c r="D64" s="81"/>
      <c r="H64" s="80"/>
      <c r="I64" s="82"/>
    </row>
  </sheetData>
  <sheetProtection sheet="1" objects="1" scenarios="1"/>
  <mergeCells count="21">
    <mergeCell ref="A55:H55"/>
    <mergeCell ref="A57:H57"/>
    <mergeCell ref="C27:D27"/>
    <mergeCell ref="E27:F27"/>
    <mergeCell ref="I25:K26"/>
    <mergeCell ref="E26:F26"/>
    <mergeCell ref="G26:H26"/>
    <mergeCell ref="I27:K27"/>
    <mergeCell ref="G27:H27"/>
    <mergeCell ref="E25:H25"/>
    <mergeCell ref="A25:B25"/>
    <mergeCell ref="A1:F1"/>
    <mergeCell ref="D5:H5"/>
    <mergeCell ref="A40:B40"/>
    <mergeCell ref="C25:D26"/>
    <mergeCell ref="L4:N6"/>
    <mergeCell ref="A4:F4"/>
    <mergeCell ref="A3:F3"/>
    <mergeCell ref="A6:B6"/>
    <mergeCell ref="A2:F2"/>
    <mergeCell ref="D6:H6"/>
  </mergeCells>
  <printOptions horizontalCentered="1"/>
  <pageMargins left="0.59055118110236215" right="0.59055118110236215" top="0.19685039370078741" bottom="0.19685039370078741" header="0.19685039370078741" footer="0.19685039370078741"/>
  <pageSetup paperSize="9" scale="95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List22"/>
  <dimension ref="A1"/>
  <sheetViews>
    <sheetView workbookViewId="0"/>
  </sheetViews>
  <sheetFormatPr defaultRowHeight="13.2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5</vt:i4>
      </vt:variant>
    </vt:vector>
  </HeadingPairs>
  <TitlesOfParts>
    <vt:vector size="24" baseType="lpstr">
      <vt:lpstr>Časový snímek</vt:lpstr>
      <vt:lpstr>List2</vt:lpstr>
      <vt:lpstr>Vložení sil</vt:lpstr>
      <vt:lpstr>Pohyby prac. A</vt:lpstr>
      <vt:lpstr>Pohyby prac. B</vt:lpstr>
      <vt:lpstr>Somatometrie</vt:lpstr>
      <vt:lpstr>FA A</vt:lpstr>
      <vt:lpstr>Pracovník A</vt:lpstr>
      <vt:lpstr>Počet pohybů (s)</vt:lpstr>
      <vt:lpstr>Počet pohybů (ks)</vt:lpstr>
      <vt:lpstr>Grafy - 8 hod. (s)</vt:lpstr>
      <vt:lpstr>Grafy - 8 hod. (ks)</vt:lpstr>
      <vt:lpstr>Pracovník B</vt:lpstr>
      <vt:lpstr>FA B</vt:lpstr>
      <vt:lpstr>Celkové výsledky</vt:lpstr>
      <vt:lpstr>Graf-čas-A1</vt:lpstr>
      <vt:lpstr>Graf-čas-B1</vt:lpstr>
      <vt:lpstr>Graf-kusy-A</vt:lpstr>
      <vt:lpstr>Graf-kusy-B</vt:lpstr>
      <vt:lpstr>'Časový snímek'!Oblast_tisku</vt:lpstr>
      <vt:lpstr>'Graf-čas-A1'!Oblast_tisku</vt:lpstr>
      <vt:lpstr>'Graf-čas-B1'!Oblast_tisku</vt:lpstr>
      <vt:lpstr>'Graf-kusy-A'!Oblast_tisku</vt:lpstr>
      <vt:lpstr>'Graf-kusy-B'!Oblast_tisku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vaclavik</cp:lastModifiedBy>
  <cp:lastPrinted>2024-02-28T14:54:05Z</cp:lastPrinted>
  <dcterms:created xsi:type="dcterms:W3CDTF">1998-06-08T06:04:19Z</dcterms:created>
  <dcterms:modified xsi:type="dcterms:W3CDTF">2025-10-20T09:04:47Z</dcterms:modified>
</cp:coreProperties>
</file>